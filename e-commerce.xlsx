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A242DB45-DE11-441E-98DB-CBC022637121}" xr6:coauthVersionLast="47" xr6:coauthVersionMax="47" xr10:uidLastSave="{00000000-0000-0000-0000-000000000000}"/>
  <bookViews>
    <workbookView xWindow="-110" yWindow="-110" windowWidth="19420" windowHeight="11500" activeTab="1" xr2:uid="{D8F92AD6-B53D-4158-8669-4968A315BA28}"/>
  </bookViews>
  <sheets>
    <sheet name="data" sheetId="1" r:id="rId1"/>
    <sheet name="DASHBOARD" sheetId="2" r:id="rId2"/>
    <sheet name="kpi" sheetId="3" r:id="rId3"/>
  </sheets>
  <definedNames>
    <definedName name="NativeTimeline_Order_Date">#N/A</definedName>
    <definedName name="Slicer_Brand">#N/A</definedName>
    <definedName name="Slicer_Category">#N/A</definedName>
    <definedName name="Slicer_Order_Date">#N/A</definedName>
    <definedName name="Slicer_Order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9" i="3" l="1"/>
  <c r="C6" i="3"/>
  <c r="C5" i="3" l="1"/>
  <c r="C4" i="3"/>
  <c r="C3" i="3"/>
  <c r="C2" i="3"/>
</calcChain>
</file>

<file path=xl/sharedStrings.xml><?xml version="1.0" encoding="utf-8"?>
<sst xmlns="http://schemas.openxmlformats.org/spreadsheetml/2006/main" count="7766" uniqueCount="1818">
  <si>
    <t>Order_ID</t>
  </si>
  <si>
    <t>Order_Date</t>
  </si>
  <si>
    <t>Customer_Name</t>
  </si>
  <si>
    <t>Email</t>
  </si>
  <si>
    <t>Phone</t>
  </si>
  <si>
    <t>City</t>
  </si>
  <si>
    <t>State</t>
  </si>
  <si>
    <t>Region</t>
  </si>
  <si>
    <t>Product_ID</t>
  </si>
  <si>
    <t>Product_Name</t>
  </si>
  <si>
    <t>Category</t>
  </si>
  <si>
    <t>Sub_Category</t>
  </si>
  <si>
    <t>Brand</t>
  </si>
  <si>
    <t>Quantity</t>
  </si>
  <si>
    <t>Unit_Price</t>
  </si>
  <si>
    <t>Discount_%</t>
  </si>
  <si>
    <t>GST_%</t>
  </si>
  <si>
    <t>Payment_Mode</t>
  </si>
  <si>
    <t>Order_Status</t>
  </si>
  <si>
    <t>ORD-1001</t>
  </si>
  <si>
    <t>CUST-001</t>
  </si>
  <si>
    <t>arjunmeh@gmail.com</t>
  </si>
  <si>
    <t>7815115025</t>
  </si>
  <si>
    <t>Telangana</t>
  </si>
  <si>
    <t>South</t>
  </si>
  <si>
    <t>PROD-108</t>
  </si>
  <si>
    <t>Nescafe Classic 200g</t>
  </si>
  <si>
    <t>Grocery</t>
  </si>
  <si>
    <t>Beverage</t>
  </si>
  <si>
    <t>Nestlé</t>
  </si>
  <si>
    <t>Cancelled</t>
  </si>
  <si>
    <t>ORD-1002</t>
  </si>
  <si>
    <t>Preethi S</t>
  </si>
  <si>
    <t>CUST-002</t>
  </si>
  <si>
    <t>@gmail</t>
  </si>
  <si>
    <t>9673561638</t>
  </si>
  <si>
    <t>Surat</t>
  </si>
  <si>
    <t>Gujarat</t>
  </si>
  <si>
    <t>West</t>
  </si>
  <si>
    <t>PROD-125</t>
  </si>
  <si>
    <t>Tanishq Gold Ring</t>
  </si>
  <si>
    <t>Jewellery</t>
  </si>
  <si>
    <t>Gold</t>
  </si>
  <si>
    <t>Tanishq</t>
  </si>
  <si>
    <t>ORD-1003</t>
  </si>
  <si>
    <t>CUST-003</t>
  </si>
  <si>
    <t>rekhapan@gmail.com</t>
  </si>
  <si>
    <t>769357567</t>
  </si>
  <si>
    <t>Karnataka</t>
  </si>
  <si>
    <t>PROD-115</t>
  </si>
  <si>
    <t>OnePlus Nord CE 3</t>
  </si>
  <si>
    <t>Electronics</t>
  </si>
  <si>
    <t>Mobile</t>
  </si>
  <si>
    <t>OnePlus</t>
  </si>
  <si>
    <t>Net Banking</t>
  </si>
  <si>
    <t>ORD-1004</t>
  </si>
  <si>
    <t>Geetha Rao</t>
  </si>
  <si>
    <t>CUST-004</t>
  </si>
  <si>
    <t>geethara@yahoo.com</t>
  </si>
  <si>
    <t>7813163240</t>
  </si>
  <si>
    <t>PROD-119</t>
  </si>
  <si>
    <t>Fastrack Reflex Beat</t>
  </si>
  <si>
    <t>Fashion</t>
  </si>
  <si>
    <t>Accessories</t>
  </si>
  <si>
    <t>Fastrack</t>
  </si>
  <si>
    <t>Debit Card</t>
  </si>
  <si>
    <t>ORD-1005</t>
  </si>
  <si>
    <t>CUST-005</t>
  </si>
  <si>
    <t>dineshk@outlook.com</t>
  </si>
  <si>
    <t>6854316681</t>
  </si>
  <si>
    <t>Delhi</t>
  </si>
  <si>
    <t>North</t>
  </si>
  <si>
    <t>PROD-120</t>
  </si>
  <si>
    <t>Samsung Galaxy M14</t>
  </si>
  <si>
    <t>Samsung</t>
  </si>
  <si>
    <t>ORD-1006</t>
  </si>
  <si>
    <t>Suresh Kumar</t>
  </si>
  <si>
    <t>CUST-006</t>
  </si>
  <si>
    <t>sureshku@rediffmail.com</t>
  </si>
  <si>
    <t>8605301030</t>
  </si>
  <si>
    <t>Kochi</t>
  </si>
  <si>
    <t>Kerala</t>
  </si>
  <si>
    <t>PROD-118</t>
  </si>
  <si>
    <t>Voltas 1.5T Desert Cooler</t>
  </si>
  <si>
    <t>Home</t>
  </si>
  <si>
    <t>Appliance</t>
  </si>
  <si>
    <t>Voltas</t>
  </si>
  <si>
    <t>Shipped</t>
  </si>
  <si>
    <t>ORD-1007</t>
  </si>
  <si>
    <t>CUST-007</t>
  </si>
  <si>
    <t>swatigup@outlook.com</t>
  </si>
  <si>
    <t>8873237671</t>
  </si>
  <si>
    <t>Pune</t>
  </si>
  <si>
    <t>Maharashtra</t>
  </si>
  <si>
    <t>Credit Card</t>
  </si>
  <si>
    <t>No</t>
  </si>
  <si>
    <t>ORD-1008</t>
  </si>
  <si>
    <t>CUST-008</t>
  </si>
  <si>
    <t>nishapat@gmail.com</t>
  </si>
  <si>
    <t>7926780541</t>
  </si>
  <si>
    <t>PROD-124</t>
  </si>
  <si>
    <t>Realme Buds Air 3</t>
  </si>
  <si>
    <t>Audio</t>
  </si>
  <si>
    <t>Realme</t>
  </si>
  <si>
    <t>ORD-1009</t>
  </si>
  <si>
    <t>Kavya Rao</t>
  </si>
  <si>
    <t>CUST-009</t>
  </si>
  <si>
    <t>kavyarao@gmail.com</t>
  </si>
  <si>
    <t>9367557574</t>
  </si>
  <si>
    <t>Bengaluru</t>
  </si>
  <si>
    <t>ORD-1010</t>
  </si>
  <si>
    <t>CUST-010</t>
  </si>
  <si>
    <t>rashmive@gmail.com</t>
  </si>
  <si>
    <t>7010193046</t>
  </si>
  <si>
    <t>Jaipur</t>
  </si>
  <si>
    <t>Rajasthan</t>
  </si>
  <si>
    <t>Returned</t>
  </si>
  <si>
    <t>ORD-1011</t>
  </si>
  <si>
    <t>CUST-011</t>
  </si>
  <si>
    <t>geethara@rediffmail.com</t>
  </si>
  <si>
    <t>6915490795</t>
  </si>
  <si>
    <t>ORD-1012</t>
  </si>
  <si>
    <t>CUST-012</t>
  </si>
  <si>
    <t>arunshar@yahoo.com</t>
  </si>
  <si>
    <t>9082120871</t>
  </si>
  <si>
    <t>PROD-112</t>
  </si>
  <si>
    <t>Britannia Good Day</t>
  </si>
  <si>
    <t>Snacks</t>
  </si>
  <si>
    <t>Britannia</t>
  </si>
  <si>
    <t>ORD-1013</t>
  </si>
  <si>
    <t>CUST-013</t>
  </si>
  <si>
    <t>preethis@outlook.com</t>
  </si>
  <si>
    <t>6547374338</t>
  </si>
  <si>
    <t>PROD-109</t>
  </si>
  <si>
    <t>HP Pavilion Laptop</t>
  </si>
  <si>
    <t>Computer</t>
  </si>
  <si>
    <t>HP</t>
  </si>
  <si>
    <t>Delivered</t>
  </si>
  <si>
    <t>Yes</t>
  </si>
  <si>
    <t>ORD-1014</t>
  </si>
  <si>
    <t>CUST-014</t>
  </si>
  <si>
    <t>amitsing@yahoo.com</t>
  </si>
  <si>
    <t>6464267175</t>
  </si>
  <si>
    <t>PROD-102</t>
  </si>
  <si>
    <t>iPhone 14 Pro</t>
  </si>
  <si>
    <t>Apple</t>
  </si>
  <si>
    <t>ORD-1015</t>
  </si>
  <si>
    <t>CUST-015</t>
  </si>
  <si>
    <t>sureshba@outlook.com</t>
  </si>
  <si>
    <t>7140169349</t>
  </si>
  <si>
    <t>Mumbai</t>
  </si>
  <si>
    <t>ORD-1016</t>
  </si>
  <si>
    <t>CUST-016</t>
  </si>
  <si>
    <t>amitsing@outlook.com</t>
  </si>
  <si>
    <t>7400944900</t>
  </si>
  <si>
    <t>ORD-1017</t>
  </si>
  <si>
    <t>CUST-017</t>
  </si>
  <si>
    <t>8851230518</t>
  </si>
  <si>
    <t>PROD-107</t>
  </si>
  <si>
    <t>Levi's 511 Jeans</t>
  </si>
  <si>
    <t>Clothing</t>
  </si>
  <si>
    <t>Levi's</t>
  </si>
  <si>
    <t>ORD-1018</t>
  </si>
  <si>
    <t>CUST-018</t>
  </si>
  <si>
    <t>padmalak@gmail.com</t>
  </si>
  <si>
    <t>9803044105</t>
  </si>
  <si>
    <t>Lucknow</t>
  </si>
  <si>
    <t>Uttar Pradesh</t>
  </si>
  <si>
    <t>ORD-1019</t>
  </si>
  <si>
    <t>CUST-019</t>
  </si>
  <si>
    <t>deepakri@hotmail.com</t>
  </si>
  <si>
    <t>9607183629</t>
  </si>
  <si>
    <t>PROD-123</t>
  </si>
  <si>
    <t>Syska LED Bulb Pack</t>
  </si>
  <si>
    <t>Lighting</t>
  </si>
  <si>
    <t>Syska</t>
  </si>
  <si>
    <t>ORD-1020</t>
  </si>
  <si>
    <t>Anita Verma</t>
  </si>
  <si>
    <t>CUST-020</t>
  </si>
  <si>
    <t>anitaver@hotmail.com</t>
  </si>
  <si>
    <t>8987248494</t>
  </si>
  <si>
    <t>ORD-1021</t>
  </si>
  <si>
    <t>CUST-021</t>
  </si>
  <si>
    <t>priyasha@rediffmail.com</t>
  </si>
  <si>
    <t>PROD-101</t>
  </si>
  <si>
    <t>Samsung TV 43"</t>
  </si>
  <si>
    <t>Television</t>
  </si>
  <si>
    <t>ORD-1022</t>
  </si>
  <si>
    <t>CUST-022</t>
  </si>
  <si>
    <t>geethara@outlook.com</t>
  </si>
  <si>
    <t>8799264931</t>
  </si>
  <si>
    <t>ORD-1023</t>
  </si>
  <si>
    <t>CUST-023</t>
  </si>
  <si>
    <t>amitsing@rediffmail.com</t>
  </si>
  <si>
    <t>7703617827</t>
  </si>
  <si>
    <t>Pending</t>
  </si>
  <si>
    <t>ORD-1024</t>
  </si>
  <si>
    <t>Divya Nair</t>
  </si>
  <si>
    <t>CUST-024</t>
  </si>
  <si>
    <t>divyanai@hotmail.com</t>
  </si>
  <si>
    <t>8793693337</t>
  </si>
  <si>
    <t>PROD-121</t>
  </si>
  <si>
    <t>Amul Butter 500g</t>
  </si>
  <si>
    <t>Dairy</t>
  </si>
  <si>
    <t>Amul</t>
  </si>
  <si>
    <t>ORD-1025</t>
  </si>
  <si>
    <t>CUST-025</t>
  </si>
  <si>
    <t>anitaver@outlook.com</t>
  </si>
  <si>
    <t>9780945510</t>
  </si>
  <si>
    <t>West Bengal</t>
  </si>
  <si>
    <t>East</t>
  </si>
  <si>
    <t>ORD-1026</t>
  </si>
  <si>
    <t>CUST-026</t>
  </si>
  <si>
    <t>dineshk@rediffmail.com</t>
  </si>
  <si>
    <t>7163577186</t>
  </si>
  <si>
    <t>PROD-117</t>
  </si>
  <si>
    <t>Parle-G Family Pack</t>
  </si>
  <si>
    <t>Parle</t>
  </si>
  <si>
    <t>ORD-1027</t>
  </si>
  <si>
    <t>CUST-027</t>
  </si>
  <si>
    <t>sitadevi@gmail.com</t>
  </si>
  <si>
    <t>6542366274</t>
  </si>
  <si>
    <t>ORD-1028</t>
  </si>
  <si>
    <t>CUST-028</t>
  </si>
  <si>
    <t>nishapat@hotmail.com</t>
  </si>
  <si>
    <t>6969318858</t>
  </si>
  <si>
    <t>ORD-1029</t>
  </si>
  <si>
    <t>CUST-029</t>
  </si>
  <si>
    <t>deepikar@rediffmail.com</t>
  </si>
  <si>
    <t>754675132</t>
  </si>
  <si>
    <t>Visakhapatnam</t>
  </si>
  <si>
    <t>Andhra Pradesh</t>
  </si>
  <si>
    <t>ORD-1030</t>
  </si>
  <si>
    <t>Rahul Gupta</t>
  </si>
  <si>
    <t>CUST-030</t>
  </si>
  <si>
    <t>rahulgup@hotmail.com</t>
  </si>
  <si>
    <t>8120834317</t>
  </si>
  <si>
    <t>Hydrabad</t>
  </si>
  <si>
    <t>ORD-1031</t>
  </si>
  <si>
    <t>CUST-031</t>
  </si>
  <si>
    <t>user@hotmail.com</t>
  </si>
  <si>
    <t>7753841726</t>
  </si>
  <si>
    <t>PROD-114</t>
  </si>
  <si>
    <t>Philips Mixer Grinder</t>
  </si>
  <si>
    <t>Kitchen</t>
  </si>
  <si>
    <t>Philips</t>
  </si>
  <si>
    <t>ORD-1032</t>
  </si>
  <si>
    <t>CUST-032</t>
  </si>
  <si>
    <t>preethis@hotmail.com</t>
  </si>
  <si>
    <t>6874275988</t>
  </si>
  <si>
    <t>PROD-106</t>
  </si>
  <si>
    <t>LG Double Door Refrigerator</t>
  </si>
  <si>
    <t>LG</t>
  </si>
  <si>
    <t>ORD-1033</t>
  </si>
  <si>
    <t>CUST-033</t>
  </si>
  <si>
    <t>8028168523</t>
  </si>
  <si>
    <t>Tamil Nadu</t>
  </si>
  <si>
    <t>PROD-110</t>
  </si>
  <si>
    <t>Banarasi Silk Saree</t>
  </si>
  <si>
    <t>Traditional</t>
  </si>
  <si>
    <t>Fab India</t>
  </si>
  <si>
    <t>ORD-1034</t>
  </si>
  <si>
    <t>Vijay Patel</t>
  </si>
  <si>
    <t>CUST-034</t>
  </si>
  <si>
    <t>vijaypat@outlook.com</t>
  </si>
  <si>
    <t>7620104855</t>
  </si>
  <si>
    <t>PROD-113</t>
  </si>
  <si>
    <t>Titan Raga Watch</t>
  </si>
  <si>
    <t>Titan</t>
  </si>
  <si>
    <t>ORD-1035</t>
  </si>
  <si>
    <t>CUST-035</t>
  </si>
  <si>
    <t>rashmive@hotmail.com</t>
  </si>
  <si>
    <t>ORD-1036</t>
  </si>
  <si>
    <t>CUST-036</t>
  </si>
  <si>
    <t>sureshku@outlook.com</t>
  </si>
  <si>
    <t>7863893256</t>
  </si>
  <si>
    <t>PROD-105</t>
  </si>
  <si>
    <t>Boat Airdopes 141</t>
  </si>
  <si>
    <t>Boat</t>
  </si>
  <si>
    <t>ORD-1037</t>
  </si>
  <si>
    <t>CUST-037</t>
  </si>
  <si>
    <t>deepakri@outlook.com</t>
  </si>
  <si>
    <t>9860782736</t>
  </si>
  <si>
    <t>ORD-1038</t>
  </si>
  <si>
    <t>CUST-038</t>
  </si>
  <si>
    <t>rashmive@rediffmail.com</t>
  </si>
  <si>
    <t>6210643427</t>
  </si>
  <si>
    <t>ORD-1039</t>
  </si>
  <si>
    <t>CUST-039</t>
  </si>
  <si>
    <t>dineshk@gmail.com</t>
  </si>
  <si>
    <t>7784572192</t>
  </si>
  <si>
    <t>ORD-1040</t>
  </si>
  <si>
    <t>CUST-040</t>
  </si>
  <si>
    <t>manishti@hotmail.com</t>
  </si>
  <si>
    <t>Cash</t>
  </si>
  <si>
    <t>ORD-1041</t>
  </si>
  <si>
    <t>Mohan Lal</t>
  </si>
  <si>
    <t>CUST-041</t>
  </si>
  <si>
    <t>@</t>
  </si>
  <si>
    <t>6417436465</t>
  </si>
  <si>
    <t>PROD-122</t>
  </si>
  <si>
    <t>VIP Trolley Bag</t>
  </si>
  <si>
    <t>Travel</t>
  </si>
  <si>
    <t>VIP</t>
  </si>
  <si>
    <t>ORD-1042</t>
  </si>
  <si>
    <t>CUST-042</t>
  </si>
  <si>
    <t>vijaypat@gmail.com</t>
  </si>
  <si>
    <t>9872755741</t>
  </si>
  <si>
    <t>ORD-1043</t>
  </si>
  <si>
    <t>CUST-043</t>
  </si>
  <si>
    <t>aaravsha@rediffmail.com</t>
  </si>
  <si>
    <t>ORD-1044</t>
  </si>
  <si>
    <t>CUST-044</t>
  </si>
  <si>
    <t>sureshku@gmail.com</t>
  </si>
  <si>
    <t>8829967158</t>
  </si>
  <si>
    <t>Chennai</t>
  </si>
  <si>
    <t>ORD-1045</t>
  </si>
  <si>
    <t>CUST-045</t>
  </si>
  <si>
    <t>6491404673</t>
  </si>
  <si>
    <t>ORD-1046</t>
  </si>
  <si>
    <t>CUST-046</t>
  </si>
  <si>
    <t>kavithan@rediffmail.com</t>
  </si>
  <si>
    <t>7764409657</t>
  </si>
  <si>
    <t>ORD-1047</t>
  </si>
  <si>
    <t>CUST-047</t>
  </si>
  <si>
    <t>gmail.com</t>
  </si>
  <si>
    <t>7459535801</t>
  </si>
  <si>
    <t>ORD-1048</t>
  </si>
  <si>
    <t>CUST-048</t>
  </si>
  <si>
    <t>ORD-1049</t>
  </si>
  <si>
    <t>Rohit Yadav</t>
  </si>
  <si>
    <t>CUST-049</t>
  </si>
  <si>
    <t>rohityad@outlook.com</t>
  </si>
  <si>
    <t>831206151</t>
  </si>
  <si>
    <t>ORD-1050</t>
  </si>
  <si>
    <t>CUST-050</t>
  </si>
  <si>
    <t>manishti@yahoo.com</t>
  </si>
  <si>
    <t>9573524070</t>
  </si>
  <si>
    <t>ORD-1051</t>
  </si>
  <si>
    <t>CUST-051</t>
  </si>
  <si>
    <t>nehasing@yahoo.com</t>
  </si>
  <si>
    <t>9260534643</t>
  </si>
  <si>
    <t>PROD-104</t>
  </si>
  <si>
    <t>Prestige Pressure Cooker</t>
  </si>
  <si>
    <t>Prestige</t>
  </si>
  <si>
    <t>ORD-1052</t>
  </si>
  <si>
    <t>Meera Nair</t>
  </si>
  <si>
    <t>CUST-052</t>
  </si>
  <si>
    <t>meeranai@hotmail.com</t>
  </si>
  <si>
    <t>Kolkata</t>
  </si>
  <si>
    <t>ORD-1053</t>
  </si>
  <si>
    <t>CUST-053</t>
  </si>
  <si>
    <t>@yahoo.com</t>
  </si>
  <si>
    <t>8245185702</t>
  </si>
  <si>
    <t>PROD-103</t>
  </si>
  <si>
    <t>Nike Running Shoes</t>
  </si>
  <si>
    <t>Footwear</t>
  </si>
  <si>
    <t>Nike</t>
  </si>
  <si>
    <t>ORD-1054</t>
  </si>
  <si>
    <t>CUST-054</t>
  </si>
  <si>
    <t>padmalak@hotmail.com</t>
  </si>
  <si>
    <t>6548870021</t>
  </si>
  <si>
    <t>ORD-1055</t>
  </si>
  <si>
    <t>CUST-055</t>
  </si>
  <si>
    <t>6696846464</t>
  </si>
  <si>
    <t>ORD-1056</t>
  </si>
  <si>
    <t>CUST-056</t>
  </si>
  <si>
    <t>manishti@rediffmail.com</t>
  </si>
  <si>
    <t>9508521152</t>
  </si>
  <si>
    <t>ORD-1057</t>
  </si>
  <si>
    <t>CUST-057</t>
  </si>
  <si>
    <t>divyanai@outlook.com</t>
  </si>
  <si>
    <t>7610237679</t>
  </si>
  <si>
    <t>ORD-1058</t>
  </si>
  <si>
    <t>CUST-058</t>
  </si>
  <si>
    <t>rekhapan@outlook.com</t>
  </si>
  <si>
    <t>7024089868</t>
  </si>
  <si>
    <t>ORD-1059</t>
  </si>
  <si>
    <t>CUST-059</t>
  </si>
  <si>
    <t>manojkum@hotmail.com</t>
  </si>
  <si>
    <t>ORD-1060</t>
  </si>
  <si>
    <t>CUST-060</t>
  </si>
  <si>
    <t>sureshba@hotmail.com</t>
  </si>
  <si>
    <t>ORD-1061</t>
  </si>
  <si>
    <t>CUST-061</t>
  </si>
  <si>
    <t>divyanai@yahoo.com</t>
  </si>
  <si>
    <t>9969883220</t>
  </si>
  <si>
    <t>ORD-1062</t>
  </si>
  <si>
    <t>CUST-062</t>
  </si>
  <si>
    <t>deepikar@hotmail.com</t>
  </si>
  <si>
    <t>8918046336</t>
  </si>
  <si>
    <t>ORD-1063</t>
  </si>
  <si>
    <t>CUST-063</t>
  </si>
  <si>
    <t>poojaiye@outlook.com</t>
  </si>
  <si>
    <t>9159699467</t>
  </si>
  <si>
    <t>ORD-1064</t>
  </si>
  <si>
    <t>CUST-064</t>
  </si>
  <si>
    <t>9656572173</t>
  </si>
  <si>
    <t>ORD-1065</t>
  </si>
  <si>
    <t>CUST-065</t>
  </si>
  <si>
    <t>8921045865</t>
  </si>
  <si>
    <t>ORD-1066</t>
  </si>
  <si>
    <t>CUST-066</t>
  </si>
  <si>
    <t>8638949369</t>
  </si>
  <si>
    <t>ORD-1067</t>
  </si>
  <si>
    <t>CUST-067</t>
  </si>
  <si>
    <t>mohanlal@rediffmail.com</t>
  </si>
  <si>
    <t>8074232200</t>
  </si>
  <si>
    <t>ORD-1068</t>
  </si>
  <si>
    <t>CUST-068</t>
  </si>
  <si>
    <t>vijaypat@hotmail.com</t>
  </si>
  <si>
    <t>7246451043</t>
  </si>
  <si>
    <t>ORD-1069</t>
  </si>
  <si>
    <t>CUST-069</t>
  </si>
  <si>
    <t>sureshba@rediffmail.com</t>
  </si>
  <si>
    <t>8021155136</t>
  </si>
  <si>
    <t>ORD-1070</t>
  </si>
  <si>
    <t>CUST-070</t>
  </si>
  <si>
    <t>rahulgup@outlook.com</t>
  </si>
  <si>
    <t>6619623590</t>
  </si>
  <si>
    <t>ORD-1071</t>
  </si>
  <si>
    <t>CUST-071</t>
  </si>
  <si>
    <t>777832901</t>
  </si>
  <si>
    <t>ORD-1072</t>
  </si>
  <si>
    <t>CUST-072</t>
  </si>
  <si>
    <t>arjunmeh@hotmail.com</t>
  </si>
  <si>
    <t>9328480679</t>
  </si>
  <si>
    <t>ORD-1073</t>
  </si>
  <si>
    <t>CUST-073</t>
  </si>
  <si>
    <t>padmalak@yahoo.com</t>
  </si>
  <si>
    <t>7278244804</t>
  </si>
  <si>
    <t>ORD-1074</t>
  </si>
  <si>
    <t>CUST-074</t>
  </si>
  <si>
    <t>9556025499</t>
  </si>
  <si>
    <t>PROD-116</t>
  </si>
  <si>
    <t>Adidas Originals Tee</t>
  </si>
  <si>
    <t>Adidas</t>
  </si>
  <si>
    <t>ORD-1075</t>
  </si>
  <si>
    <t>CUST-075</t>
  </si>
  <si>
    <t>mohanlal@hotmail.com</t>
  </si>
  <si>
    <t>7233708056</t>
  </si>
  <si>
    <t>ORD-1076</t>
  </si>
  <si>
    <t>CUST-076</t>
  </si>
  <si>
    <t>kirankum@outlook.com</t>
  </si>
  <si>
    <t>8333457812</t>
  </si>
  <si>
    <t>ORD-1077</t>
  </si>
  <si>
    <t>CUST-077</t>
  </si>
  <si>
    <t>deepikar@gmail.com</t>
  </si>
  <si>
    <t>7389858576</t>
  </si>
  <si>
    <t>ORD-1078</t>
  </si>
  <si>
    <t>CUST-078</t>
  </si>
  <si>
    <t>vijaypat@yahoo.com</t>
  </si>
  <si>
    <t>8601628976</t>
  </si>
  <si>
    <t>ORD-1079</t>
  </si>
  <si>
    <t>CUST-079</t>
  </si>
  <si>
    <t>nehasing@rediffmail.com</t>
  </si>
  <si>
    <t>9079139213</t>
  </si>
  <si>
    <t>ORD-1080</t>
  </si>
  <si>
    <t>Saranya M</t>
  </si>
  <si>
    <t>CUST-080</t>
  </si>
  <si>
    <t>saranyam@gmail.com</t>
  </si>
  <si>
    <t>8027530378</t>
  </si>
  <si>
    <t>ORD-1081</t>
  </si>
  <si>
    <t>CUST-081</t>
  </si>
  <si>
    <t>amitsing@hotmail.com</t>
  </si>
  <si>
    <t>6956447193</t>
  </si>
  <si>
    <t>ORD-1082</t>
  </si>
  <si>
    <t>Ravi Kumar</t>
  </si>
  <si>
    <t>CUST-082</t>
  </si>
  <si>
    <t>ravikuma@hotmail.com</t>
  </si>
  <si>
    <t>6209063208</t>
  </si>
  <si>
    <t>ORD-1083</t>
  </si>
  <si>
    <t>CUST-083</t>
  </si>
  <si>
    <t>ravi@</t>
  </si>
  <si>
    <t>8688620050</t>
  </si>
  <si>
    <t>ORD-1084</t>
  </si>
  <si>
    <t>CUST-084</t>
  </si>
  <si>
    <t>swatigup@yahoo.com</t>
  </si>
  <si>
    <t>7418468740</t>
  </si>
  <si>
    <t>ORD-1085</t>
  </si>
  <si>
    <t>CUST-085</t>
  </si>
  <si>
    <t>rohityad@rediffmail.com</t>
  </si>
  <si>
    <t>7027918636</t>
  </si>
  <si>
    <t>ORD-1086</t>
  </si>
  <si>
    <t>CUST-086</t>
  </si>
  <si>
    <t>6654602021</t>
  </si>
  <si>
    <t>ORD-1087</t>
  </si>
  <si>
    <t>CUST-087</t>
  </si>
  <si>
    <t>divyanai@gmail.com</t>
  </si>
  <si>
    <t>9282810353</t>
  </si>
  <si>
    <t>ORD-1088</t>
  </si>
  <si>
    <t>CUST-088</t>
  </si>
  <si>
    <t>6459632043</t>
  </si>
  <si>
    <t>ORD-1089</t>
  </si>
  <si>
    <t>CUST-089</t>
  </si>
  <si>
    <t>692010856</t>
  </si>
  <si>
    <t>ORD-1090</t>
  </si>
  <si>
    <t>CUST-090</t>
  </si>
  <si>
    <t>9061072141</t>
  </si>
  <si>
    <t>ORD-1091</t>
  </si>
  <si>
    <t>CUST-091</t>
  </si>
  <si>
    <t>ORD-1092</t>
  </si>
  <si>
    <t>CUST-092</t>
  </si>
  <si>
    <t>6439080604</t>
  </si>
  <si>
    <t>ORD-1093</t>
  </si>
  <si>
    <t>CUST-093</t>
  </si>
  <si>
    <t>kavyarao@outlook.com</t>
  </si>
  <si>
    <t>6271730355</t>
  </si>
  <si>
    <t>ORD-1094</t>
  </si>
  <si>
    <t>CUST-094</t>
  </si>
  <si>
    <t>poojaiye@rediffmail.com</t>
  </si>
  <si>
    <t>7349406919</t>
  </si>
  <si>
    <t>ORD-1095</t>
  </si>
  <si>
    <t>CUST-095</t>
  </si>
  <si>
    <t>manishti@gmail.com</t>
  </si>
  <si>
    <t>7757249751</t>
  </si>
  <si>
    <t>ORD-1096</t>
  </si>
  <si>
    <t>CUST-096</t>
  </si>
  <si>
    <t>nishapat@outlook.com</t>
  </si>
  <si>
    <t>8419012709</t>
  </si>
  <si>
    <t>ORD-1097</t>
  </si>
  <si>
    <t>CUST-097</t>
  </si>
  <si>
    <t>geethara@hotmail.com</t>
  </si>
  <si>
    <t>7495938377</t>
  </si>
  <si>
    <t>ORD-1098</t>
  </si>
  <si>
    <t>Venkat Reddy</t>
  </si>
  <si>
    <t>CUST-098</t>
  </si>
  <si>
    <t>venkatre@hotmail.com</t>
  </si>
  <si>
    <t>9792874364</t>
  </si>
  <si>
    <t>ORD-1099</t>
  </si>
  <si>
    <t>CUST-099</t>
  </si>
  <si>
    <t>divyanai@rediffmail.com</t>
  </si>
  <si>
    <t>7966496239</t>
  </si>
  <si>
    <t>ORD-1100</t>
  </si>
  <si>
    <t>CUST-100</t>
  </si>
  <si>
    <t>9616298963</t>
  </si>
  <si>
    <t>ORD-1101</t>
  </si>
  <si>
    <t>Prasad P</t>
  </si>
  <si>
    <t>CUST-101</t>
  </si>
  <si>
    <t>prasadp@hotmail.com</t>
  </si>
  <si>
    <t>8127354612</t>
  </si>
  <si>
    <t>ORD-1102</t>
  </si>
  <si>
    <t>CUST-102</t>
  </si>
  <si>
    <t>8621054475</t>
  </si>
  <si>
    <t>ORD-1103</t>
  </si>
  <si>
    <t>CUST-103</t>
  </si>
  <si>
    <t>6628110811</t>
  </si>
  <si>
    <t>ORD-1104</t>
  </si>
  <si>
    <t>CUST-104</t>
  </si>
  <si>
    <t>7708176663</t>
  </si>
  <si>
    <t>Ahmedabad</t>
  </si>
  <si>
    <t>ORD-1105</t>
  </si>
  <si>
    <t>CUST-105</t>
  </si>
  <si>
    <t>sanjaysh@hotmail.com</t>
  </si>
  <si>
    <t>6566562369</t>
  </si>
  <si>
    <t>ORD-1106</t>
  </si>
  <si>
    <t>CUST-106</t>
  </si>
  <si>
    <t>9695133408</t>
  </si>
  <si>
    <t>ORD-1107</t>
  </si>
  <si>
    <t>CUST-107</t>
  </si>
  <si>
    <t>swatigup@rediffmail.com</t>
  </si>
  <si>
    <t>6372322246</t>
  </si>
  <si>
    <t>ORD-1108</t>
  </si>
  <si>
    <t>CUST-108</t>
  </si>
  <si>
    <t>9409250682</t>
  </si>
  <si>
    <t>ORD-1109</t>
  </si>
  <si>
    <t>CUST-109</t>
  </si>
  <si>
    <t>7230455714</t>
  </si>
  <si>
    <t>ORD-1110</t>
  </si>
  <si>
    <t>CUST-110</t>
  </si>
  <si>
    <t>7866092821</t>
  </si>
  <si>
    <t>ORD-1111</t>
  </si>
  <si>
    <t>CUST-111</t>
  </si>
  <si>
    <t>8695232998</t>
  </si>
  <si>
    <t>ORD-1112</t>
  </si>
  <si>
    <t>CUST-112</t>
  </si>
  <si>
    <t>meeranai@gmail.com</t>
  </si>
  <si>
    <t>9181135507</t>
  </si>
  <si>
    <t>ORD-1113</t>
  </si>
  <si>
    <t>CUST-113</t>
  </si>
  <si>
    <t>9176454660</t>
  </si>
  <si>
    <t>ORD-1114</t>
  </si>
  <si>
    <t>CUST-114</t>
  </si>
  <si>
    <t>padmalak@outlook.com</t>
  </si>
  <si>
    <t>7022922016</t>
  </si>
  <si>
    <t>ORD-1115</t>
  </si>
  <si>
    <t>CUST-115</t>
  </si>
  <si>
    <t>manojkum@outlook.com</t>
  </si>
  <si>
    <t>7687718878</t>
  </si>
  <si>
    <t>ORD-1116</t>
  </si>
  <si>
    <t>CUST-116</t>
  </si>
  <si>
    <t>kirankum@rediffmail.com</t>
  </si>
  <si>
    <t>ORD-1117</t>
  </si>
  <si>
    <t>CUST-117</t>
  </si>
  <si>
    <t>kirankum@hotmail.com</t>
  </si>
  <si>
    <t>8768901084</t>
  </si>
  <si>
    <t>ORD-1118</t>
  </si>
  <si>
    <t>CUST-118</t>
  </si>
  <si>
    <t>rohityad@yahoo.com</t>
  </si>
  <si>
    <t>7915604499</t>
  </si>
  <si>
    <t>ORD-1119</t>
  </si>
  <si>
    <t>CUST-119</t>
  </si>
  <si>
    <t>6772303297</t>
  </si>
  <si>
    <t>ORD-1120</t>
  </si>
  <si>
    <t>CUST-120</t>
  </si>
  <si>
    <t>7540961801</t>
  </si>
  <si>
    <t>ORD-1121</t>
  </si>
  <si>
    <t>CUST-121</t>
  </si>
  <si>
    <t>9325878813</t>
  </si>
  <si>
    <t>ORD-1122</t>
  </si>
  <si>
    <t>CUST-122</t>
  </si>
  <si>
    <t>arjunmeh@outlook.com</t>
  </si>
  <si>
    <t>9015103300</t>
  </si>
  <si>
    <t>ORD-1123</t>
  </si>
  <si>
    <t>CUST-123</t>
  </si>
  <si>
    <t>ravishan@yahoo.com</t>
  </si>
  <si>
    <t>9380225197</t>
  </si>
  <si>
    <t>ORD-1124</t>
  </si>
  <si>
    <t>CUST-124</t>
  </si>
  <si>
    <t>deepakri@yahoo.com</t>
  </si>
  <si>
    <t>6322132937</t>
  </si>
  <si>
    <t>ORD-1125</t>
  </si>
  <si>
    <t>CUST-125</t>
  </si>
  <si>
    <t>kavithan@hotmail.com</t>
  </si>
  <si>
    <t>6659663750</t>
  </si>
  <si>
    <t>ORD-1126</t>
  </si>
  <si>
    <t>CUST-126</t>
  </si>
  <si>
    <t>snehared@hotmail.com</t>
  </si>
  <si>
    <t>7130847576</t>
  </si>
  <si>
    <t>ORD-1127</t>
  </si>
  <si>
    <t>CUST-127</t>
  </si>
  <si>
    <t>prasadp@gmail.com</t>
  </si>
  <si>
    <t>6149157745</t>
  </si>
  <si>
    <t>ORD-1128</t>
  </si>
  <si>
    <t>CUST-128</t>
  </si>
  <si>
    <t>arunshar@rediffmail.com</t>
  </si>
  <si>
    <t>7186273502</t>
  </si>
  <si>
    <t>ORD-1129</t>
  </si>
  <si>
    <t>CUST-129</t>
  </si>
  <si>
    <t>6739592196</t>
  </si>
  <si>
    <t>ORD-1130</t>
  </si>
  <si>
    <t>CUST-130</t>
  </si>
  <si>
    <t>9130169646</t>
  </si>
  <si>
    <t>ORD-1131</t>
  </si>
  <si>
    <t>CUST-131</t>
  </si>
  <si>
    <t>manojkum@yahoo.com</t>
  </si>
  <si>
    <t>7960432117</t>
  </si>
  <si>
    <t>ORD-1132</t>
  </si>
  <si>
    <t>CUST-132</t>
  </si>
  <si>
    <t>6950695647</t>
  </si>
  <si>
    <t>ORD-1133</t>
  </si>
  <si>
    <t>CUST-133</t>
  </si>
  <si>
    <t>rekhapan@yahoo.com</t>
  </si>
  <si>
    <t>9540388030</t>
  </si>
  <si>
    <t>ORD-1134</t>
  </si>
  <si>
    <t>CUST-134</t>
  </si>
  <si>
    <t>padmalak@rediffmail.com</t>
  </si>
  <si>
    <t>6600992653</t>
  </si>
  <si>
    <t>ORD-1135</t>
  </si>
  <si>
    <t>CUST-135</t>
  </si>
  <si>
    <t>priyasha@yahoo.com</t>
  </si>
  <si>
    <t>8401022668</t>
  </si>
  <si>
    <t>ORD-1136</t>
  </si>
  <si>
    <t>CUST-136</t>
  </si>
  <si>
    <t>9740268586</t>
  </si>
  <si>
    <t>ORD-1137</t>
  </si>
  <si>
    <t>CUST-137</t>
  </si>
  <si>
    <t>sureshku@hotmail.com</t>
  </si>
  <si>
    <t>8050418568</t>
  </si>
  <si>
    <t>PROD-111</t>
  </si>
  <si>
    <t>Whirlpool 1.5T AC</t>
  </si>
  <si>
    <t>Whirlpool</t>
  </si>
  <si>
    <t>ORD-1138</t>
  </si>
  <si>
    <t>CUST-138</t>
  </si>
  <si>
    <t>7450990916</t>
  </si>
  <si>
    <t>Central</t>
  </si>
  <si>
    <t>ORD-1139</t>
  </si>
  <si>
    <t>CUST-139</t>
  </si>
  <si>
    <t>swatigup@gmail.com</t>
  </si>
  <si>
    <t>6084790270</t>
  </si>
  <si>
    <t>ORD-1140</t>
  </si>
  <si>
    <t>CUST-140</t>
  </si>
  <si>
    <t>snehared@rediffmail.com</t>
  </si>
  <si>
    <t>8246895401</t>
  </si>
  <si>
    <t>ORD-1141</t>
  </si>
  <si>
    <t>CUST-141</t>
  </si>
  <si>
    <t>6169412921</t>
  </si>
  <si>
    <t>ORD-1142</t>
  </si>
  <si>
    <t>CUST-142</t>
  </si>
  <si>
    <t>9653606617</t>
  </si>
  <si>
    <t>ORD-1143</t>
  </si>
  <si>
    <t>CUST-143</t>
  </si>
  <si>
    <t>8813090060</t>
  </si>
  <si>
    <t>ORD-1144</t>
  </si>
  <si>
    <t>CUST-144</t>
  </si>
  <si>
    <t>6321543768</t>
  </si>
  <si>
    <t>ORD-1145</t>
  </si>
  <si>
    <t>CUST-145</t>
  </si>
  <si>
    <t>ORD-1146</t>
  </si>
  <si>
    <t>CUST-146</t>
  </si>
  <si>
    <t>6456650521</t>
  </si>
  <si>
    <t>ORD-1147</t>
  </si>
  <si>
    <t>CUST-147</t>
  </si>
  <si>
    <t>8277897510</t>
  </si>
  <si>
    <t>ORD-1148</t>
  </si>
  <si>
    <t>CUST-148</t>
  </si>
  <si>
    <t>snehared@yahoo.com</t>
  </si>
  <si>
    <t>9807217286</t>
  </si>
  <si>
    <t>ORD-1149</t>
  </si>
  <si>
    <t>CUST-149</t>
  </si>
  <si>
    <t>7793054056</t>
  </si>
  <si>
    <t>ORD-1150</t>
  </si>
  <si>
    <t>CUST-150</t>
  </si>
  <si>
    <t>user@rediffmail.com</t>
  </si>
  <si>
    <t>8410638666</t>
  </si>
  <si>
    <t>ORD-1151</t>
  </si>
  <si>
    <t>CUST-151</t>
  </si>
  <si>
    <t>sureshba@yahoo.com</t>
  </si>
  <si>
    <t>8931997465</t>
  </si>
  <si>
    <t>ORD-1152</t>
  </si>
  <si>
    <t>CUST-152</t>
  </si>
  <si>
    <t>meeranai@outlook.com</t>
  </si>
  <si>
    <t>8235986982</t>
  </si>
  <si>
    <t>ORD-1153</t>
  </si>
  <si>
    <t>CUST-153</t>
  </si>
  <si>
    <t>meeranai@rediffmail.com</t>
  </si>
  <si>
    <t>6171271484</t>
  </si>
  <si>
    <t>ORD-1154</t>
  </si>
  <si>
    <t>CUST-154</t>
  </si>
  <si>
    <t>kirankum@yahoo.com</t>
  </si>
  <si>
    <t>6446362270</t>
  </si>
  <si>
    <t>ORD-1155</t>
  </si>
  <si>
    <t>CUST-155</t>
  </si>
  <si>
    <t>sanjaysh@gmail.com</t>
  </si>
  <si>
    <t>6025335682</t>
  </si>
  <si>
    <t>ORD-1156</t>
  </si>
  <si>
    <t>CUST-156</t>
  </si>
  <si>
    <t>7280142912</t>
  </si>
  <si>
    <t>ORD-1157</t>
  </si>
  <si>
    <t>CUST-157</t>
  </si>
  <si>
    <t>6233595980</t>
  </si>
  <si>
    <t>ORD-1158</t>
  </si>
  <si>
    <t>CUST-158</t>
  </si>
  <si>
    <t>kavithan@outlook.com</t>
  </si>
  <si>
    <t>6724301196</t>
  </si>
  <si>
    <t>ORD-1159</t>
  </si>
  <si>
    <t>CUST-159</t>
  </si>
  <si>
    <t>ravikuma@gmail.com</t>
  </si>
  <si>
    <t>9490272519</t>
  </si>
  <si>
    <t>ORD-1160</t>
  </si>
  <si>
    <t>CUST-160</t>
  </si>
  <si>
    <t>saranyam@rediffmail.com</t>
  </si>
  <si>
    <t>6602887521</t>
  </si>
  <si>
    <t>ORD-1161</t>
  </si>
  <si>
    <t>CUST-161</t>
  </si>
  <si>
    <t>8239279558</t>
  </si>
  <si>
    <t>ORD-1162</t>
  </si>
  <si>
    <t>CUST-162</t>
  </si>
  <si>
    <t>anitaver@gmail.com</t>
  </si>
  <si>
    <t>6645277642</t>
  </si>
  <si>
    <t>ORD-1163</t>
  </si>
  <si>
    <t>CUST-163</t>
  </si>
  <si>
    <t>7741421625</t>
  </si>
  <si>
    <t>ORD-1164</t>
  </si>
  <si>
    <t>CUST-164</t>
  </si>
  <si>
    <t>7655546199</t>
  </si>
  <si>
    <t>ORD-1165</t>
  </si>
  <si>
    <t>CUST-165</t>
  </si>
  <si>
    <t>kavyarao@hotmail.com</t>
  </si>
  <si>
    <t>8529942267</t>
  </si>
  <si>
    <t>ORD-1166</t>
  </si>
  <si>
    <t>CUST-166</t>
  </si>
  <si>
    <t>ravishan@rediffmail.com</t>
  </si>
  <si>
    <t>7819182998</t>
  </si>
  <si>
    <t>ORD-1167</t>
  </si>
  <si>
    <t>CUST-167</t>
  </si>
  <si>
    <t>8364706816</t>
  </si>
  <si>
    <t>ORD-1168</t>
  </si>
  <si>
    <t>CUST-168</t>
  </si>
  <si>
    <t>8225451403</t>
  </si>
  <si>
    <t>ORD-1169</t>
  </si>
  <si>
    <t>7953175066</t>
  </si>
  <si>
    <t>ORD-1170</t>
  </si>
  <si>
    <t>CUST-170</t>
  </si>
  <si>
    <t>geethara@gmail.com</t>
  </si>
  <si>
    <t>7643569086</t>
  </si>
  <si>
    <t>ORD-1171</t>
  </si>
  <si>
    <t>CUST-171</t>
  </si>
  <si>
    <t>user@yahoo.com</t>
  </si>
  <si>
    <t>6870875721</t>
  </si>
  <si>
    <t>ORD-1172</t>
  </si>
  <si>
    <t>CUST-172</t>
  </si>
  <si>
    <t>vijaypat@rediffmail.com</t>
  </si>
  <si>
    <t>7817526512</t>
  </si>
  <si>
    <t>ORD-1173</t>
  </si>
  <si>
    <t>CUST-173</t>
  </si>
  <si>
    <t>venkatre@outlook.com</t>
  </si>
  <si>
    <t>6904230112</t>
  </si>
  <si>
    <t>ORD-1174</t>
  </si>
  <si>
    <t>CUST-174</t>
  </si>
  <si>
    <t>manojkum@rediffmail.com</t>
  </si>
  <si>
    <t>8090017854</t>
  </si>
  <si>
    <t>ORD-1175</t>
  </si>
  <si>
    <t>CUST-175</t>
  </si>
  <si>
    <t>sitadevi@rediffmail.com</t>
  </si>
  <si>
    <t>8787996193</t>
  </si>
  <si>
    <t>ORD-1176</t>
  </si>
  <si>
    <t>CUST-176</t>
  </si>
  <si>
    <t>mohanlal@yahoo.com</t>
  </si>
  <si>
    <t>9051288583</t>
  </si>
  <si>
    <t>ORD-1177</t>
  </si>
  <si>
    <t>CUST-177</t>
  </si>
  <si>
    <t>813144473</t>
  </si>
  <si>
    <t>ORD-1178</t>
  </si>
  <si>
    <t>CUST-178</t>
  </si>
  <si>
    <t>8710328466</t>
  </si>
  <si>
    <t>ORD-1179</t>
  </si>
  <si>
    <t>CUST-179</t>
  </si>
  <si>
    <t>ravishan@hotmail.com</t>
  </si>
  <si>
    <t>9427232626</t>
  </si>
  <si>
    <t>ORD-1180</t>
  </si>
  <si>
    <t>CUST-180</t>
  </si>
  <si>
    <t>rahulgup@gmail.com</t>
  </si>
  <si>
    <t>8735433372</t>
  </si>
  <si>
    <t>ORD-1181</t>
  </si>
  <si>
    <t>CUST-181</t>
  </si>
  <si>
    <t>user@gmail.com</t>
  </si>
  <si>
    <t>6627442454</t>
  </si>
  <si>
    <t>ORD-1182</t>
  </si>
  <si>
    <t>CUST-182</t>
  </si>
  <si>
    <t>snehared@outlook.com</t>
  </si>
  <si>
    <t>9127754456</t>
  </si>
  <si>
    <t>ORD-1183</t>
  </si>
  <si>
    <t>CUST-183</t>
  </si>
  <si>
    <t>amitsing@gmail.com</t>
  </si>
  <si>
    <t>8946109800</t>
  </si>
  <si>
    <t>ORD-1184</t>
  </si>
  <si>
    <t>CUST-184</t>
  </si>
  <si>
    <t>8104929112</t>
  </si>
  <si>
    <t>ORD-1185</t>
  </si>
  <si>
    <t>CUST-185</t>
  </si>
  <si>
    <t>7664260498</t>
  </si>
  <si>
    <t>ORD-1186</t>
  </si>
  <si>
    <t>CUST-186</t>
  </si>
  <si>
    <t>8602550993</t>
  </si>
  <si>
    <t>ORD-1187</t>
  </si>
  <si>
    <t>CUST-187</t>
  </si>
  <si>
    <t>meeranai@yahoo.com</t>
  </si>
  <si>
    <t>8259977516</t>
  </si>
  <si>
    <t>ORD-1188</t>
  </si>
  <si>
    <t>CUST-188</t>
  </si>
  <si>
    <t>9628620372</t>
  </si>
  <si>
    <t>ORD-1189</t>
  </si>
  <si>
    <t>CUST-189</t>
  </si>
  <si>
    <t>nehasing@outlook.com</t>
  </si>
  <si>
    <t>ORD-1190</t>
  </si>
  <si>
    <t>CUST-190</t>
  </si>
  <si>
    <t>rekhapan@rediffmail.com</t>
  </si>
  <si>
    <t>9107754709</t>
  </si>
  <si>
    <t>ORD-1191</t>
  </si>
  <si>
    <t>CUST-191</t>
  </si>
  <si>
    <t>ORD-1192</t>
  </si>
  <si>
    <t>CUST-192</t>
  </si>
  <si>
    <t>6579265528</t>
  </si>
  <si>
    <t>ORD-1193</t>
  </si>
  <si>
    <t>CUST-193</t>
  </si>
  <si>
    <t>venkatre@yahoo.com</t>
  </si>
  <si>
    <t>9447982663</t>
  </si>
  <si>
    <t>ORD-1194</t>
  </si>
  <si>
    <t>CUST-194</t>
  </si>
  <si>
    <t>prasadp@rediffmail.com</t>
  </si>
  <si>
    <t>8675944972</t>
  </si>
  <si>
    <t>ORD-1195</t>
  </si>
  <si>
    <t>CUST-195</t>
  </si>
  <si>
    <t>9882100932</t>
  </si>
  <si>
    <t>ORD-1196</t>
  </si>
  <si>
    <t>CUST-196</t>
  </si>
  <si>
    <t>kirankum@gmail.com</t>
  </si>
  <si>
    <t>6968870326</t>
  </si>
  <si>
    <t>ORD-1197</t>
  </si>
  <si>
    <t>CUST-197</t>
  </si>
  <si>
    <t>9904134250</t>
  </si>
  <si>
    <t>ORD-1198</t>
  </si>
  <si>
    <t>CUST-198</t>
  </si>
  <si>
    <t>7146166176</t>
  </si>
  <si>
    <t>ORD-1199</t>
  </si>
  <si>
    <t>CUST-199</t>
  </si>
  <si>
    <t>dineshk@hotmail.com</t>
  </si>
  <si>
    <t>6871163569</t>
  </si>
  <si>
    <t>ORD-1200</t>
  </si>
  <si>
    <t>CUST-200</t>
  </si>
  <si>
    <t>8310130385</t>
  </si>
  <si>
    <t>ORD-1201</t>
  </si>
  <si>
    <t>CUST-201</t>
  </si>
  <si>
    <t>6581137750</t>
  </si>
  <si>
    <t>ORD-1202</t>
  </si>
  <si>
    <t>CUST-202</t>
  </si>
  <si>
    <t>8363717591</t>
  </si>
  <si>
    <t>ORD-1203</t>
  </si>
  <si>
    <t>CUST-203</t>
  </si>
  <si>
    <t>864927968</t>
  </si>
  <si>
    <t>ORD-1204</t>
  </si>
  <si>
    <t>7221405125</t>
  </si>
  <si>
    <t>ORD-1205</t>
  </si>
  <si>
    <t>CUST-205</t>
  </si>
  <si>
    <t>9134160124</t>
  </si>
  <si>
    <t>ORD-1206</t>
  </si>
  <si>
    <t>CUST-206</t>
  </si>
  <si>
    <t>9167402552</t>
  </si>
  <si>
    <t>ORD-1207</t>
  </si>
  <si>
    <t>CUST-207</t>
  </si>
  <si>
    <t>sanjaysh@outlook.com</t>
  </si>
  <si>
    <t>8037963908</t>
  </si>
  <si>
    <t>ORD-1208</t>
  </si>
  <si>
    <t>CUST-208</t>
  </si>
  <si>
    <t>9618105265</t>
  </si>
  <si>
    <t>ORD-1209</t>
  </si>
  <si>
    <t>CUST-209</t>
  </si>
  <si>
    <t>poojaiye@gmail.com</t>
  </si>
  <si>
    <t>859127827</t>
  </si>
  <si>
    <t>ORD-1210</t>
  </si>
  <si>
    <t>CUST-210</t>
  </si>
  <si>
    <t>arunshar@gmail.com</t>
  </si>
  <si>
    <t>9202133175</t>
  </si>
  <si>
    <t>ORD-1211</t>
  </si>
  <si>
    <t>CUST-211</t>
  </si>
  <si>
    <t>sitadevi@outlook.com</t>
  </si>
  <si>
    <t>7337356436</t>
  </si>
  <si>
    <t>ORD-1212</t>
  </si>
  <si>
    <t>CUST-212</t>
  </si>
  <si>
    <t>8767756835</t>
  </si>
  <si>
    <t>ORD-1213</t>
  </si>
  <si>
    <t>CUST-213</t>
  </si>
  <si>
    <t>rashmive@yahoo.com</t>
  </si>
  <si>
    <t>9067779533</t>
  </si>
  <si>
    <t>ORD-1214</t>
  </si>
  <si>
    <t>CUST-214</t>
  </si>
  <si>
    <t>deepakri@gmail.com</t>
  </si>
  <si>
    <t>9593806125</t>
  </si>
  <si>
    <t>ORD-1215</t>
  </si>
  <si>
    <t>CUST-215</t>
  </si>
  <si>
    <t>6840381733</t>
  </si>
  <si>
    <t>ORD-1216</t>
  </si>
  <si>
    <t>CUST-216</t>
  </si>
  <si>
    <t>7693369537</t>
  </si>
  <si>
    <t>ORD-1217</t>
  </si>
  <si>
    <t>CUST-217</t>
  </si>
  <si>
    <t>8986679532</t>
  </si>
  <si>
    <t>ORD-1218</t>
  </si>
  <si>
    <t>CUST-218</t>
  </si>
  <si>
    <t>9136122697</t>
  </si>
  <si>
    <t>ORD-1219</t>
  </si>
  <si>
    <t>CUST-219</t>
  </si>
  <si>
    <t>deepikar@outlook.com</t>
  </si>
  <si>
    <t>763246789</t>
  </si>
  <si>
    <t>ORD-1220</t>
  </si>
  <si>
    <t>CUST-220</t>
  </si>
  <si>
    <t>6753334536</t>
  </si>
  <si>
    <t>ORD-1221</t>
  </si>
  <si>
    <t>Lakshmi Devi</t>
  </si>
  <si>
    <t>CUST-221</t>
  </si>
  <si>
    <t>lakshmid@hotmail.com</t>
  </si>
  <si>
    <t>9231653009</t>
  </si>
  <si>
    <t>ORD-1222</t>
  </si>
  <si>
    <t>CUST-222</t>
  </si>
  <si>
    <t>mohanlal@gmail.com</t>
  </si>
  <si>
    <t>7980446323</t>
  </si>
  <si>
    <t>ORD-1223</t>
  </si>
  <si>
    <t>CUST-223</t>
  </si>
  <si>
    <t>9678385314</t>
  </si>
  <si>
    <t>ORD-1224</t>
  </si>
  <si>
    <t>CUST-224</t>
  </si>
  <si>
    <t>7109126346</t>
  </si>
  <si>
    <t>ORD-1225</t>
  </si>
  <si>
    <t>CUST-225</t>
  </si>
  <si>
    <t>lakshmid@gmail.com</t>
  </si>
  <si>
    <t>7144335983</t>
  </si>
  <si>
    <t>ORD-1226</t>
  </si>
  <si>
    <t>CUST-226</t>
  </si>
  <si>
    <t>7460558581</t>
  </si>
  <si>
    <t>ORD-1227</t>
  </si>
  <si>
    <t>CUST-227</t>
  </si>
  <si>
    <t>rohityad@gmail.com</t>
  </si>
  <si>
    <t>8146127091</t>
  </si>
  <si>
    <t>ORD-1228</t>
  </si>
  <si>
    <t>CUST-228</t>
  </si>
  <si>
    <t>ORD-1229</t>
  </si>
  <si>
    <t>CUST-229</t>
  </si>
  <si>
    <t>7440977557</t>
  </si>
  <si>
    <t>ORD-1230</t>
  </si>
  <si>
    <t>CUST-230</t>
  </si>
  <si>
    <t>7934535440</t>
  </si>
  <si>
    <t>ORD-1231</t>
  </si>
  <si>
    <t>CUST-231</t>
  </si>
  <si>
    <t>9421426659</t>
  </si>
  <si>
    <t>ORD-1232</t>
  </si>
  <si>
    <t>CUST-232</t>
  </si>
  <si>
    <t>6853630743</t>
  </si>
  <si>
    <t>ORD-1233</t>
  </si>
  <si>
    <t>CUST-233</t>
  </si>
  <si>
    <t>632025275</t>
  </si>
  <si>
    <t>ORD-1234</t>
  </si>
  <si>
    <t>CUST-234</t>
  </si>
  <si>
    <t>7405725387</t>
  </si>
  <si>
    <t>ORD-1235</t>
  </si>
  <si>
    <t>CUST-235</t>
  </si>
  <si>
    <t>swatigup@hotmail.com</t>
  </si>
  <si>
    <t>7270410210</t>
  </si>
  <si>
    <t>ORD-1236</t>
  </si>
  <si>
    <t>8470591311</t>
  </si>
  <si>
    <t>ORD-1237</t>
  </si>
  <si>
    <t>CUST-237</t>
  </si>
  <si>
    <t>sanjaysh@rediffmail.com</t>
  </si>
  <si>
    <t>9234855539</t>
  </si>
  <si>
    <t>ORD-1238</t>
  </si>
  <si>
    <t>CUST-238</t>
  </si>
  <si>
    <t>6469718772</t>
  </si>
  <si>
    <t>ORD-1239</t>
  </si>
  <si>
    <t>CUST-239</t>
  </si>
  <si>
    <t>8087991445</t>
  </si>
  <si>
    <t>ORD-1240</t>
  </si>
  <si>
    <t>CUST-240</t>
  </si>
  <si>
    <t>saranyam@yahoo.com</t>
  </si>
  <si>
    <t>7359897631</t>
  </si>
  <si>
    <t>ORD-1241</t>
  </si>
  <si>
    <t>CUST-241</t>
  </si>
  <si>
    <t>9029890512</t>
  </si>
  <si>
    <t>ORD-1242</t>
  </si>
  <si>
    <t>CUST-242</t>
  </si>
  <si>
    <t>rahulgup@yahoo.com</t>
  </si>
  <si>
    <t>9294648470</t>
  </si>
  <si>
    <t>ORD-1243</t>
  </si>
  <si>
    <t>CUST-243</t>
  </si>
  <si>
    <t>9126106365</t>
  </si>
  <si>
    <t>ORD-1244</t>
  </si>
  <si>
    <t>CUST-244</t>
  </si>
  <si>
    <t>prasadp@outlook.com</t>
  </si>
  <si>
    <t>9050487679</t>
  </si>
  <si>
    <t>ORD-1245</t>
  </si>
  <si>
    <t>CUST-245</t>
  </si>
  <si>
    <t>6122159993</t>
  </si>
  <si>
    <t>ORD-1246</t>
  </si>
  <si>
    <t>CUST-246</t>
  </si>
  <si>
    <t>7528941040</t>
  </si>
  <si>
    <t>ORD-1247</t>
  </si>
  <si>
    <t>CUST-247</t>
  </si>
  <si>
    <t>7461633584</t>
  </si>
  <si>
    <t>ORD-1248</t>
  </si>
  <si>
    <t>CUST-248</t>
  </si>
  <si>
    <t>poojaiye@hotmail.com</t>
  </si>
  <si>
    <t>9279592112</t>
  </si>
  <si>
    <t>ORD-1249</t>
  </si>
  <si>
    <t>CUST-249</t>
  </si>
  <si>
    <t>ORD-1250</t>
  </si>
  <si>
    <t>CUST-250</t>
  </si>
  <si>
    <t>9074387556</t>
  </si>
  <si>
    <t>ORD-1251</t>
  </si>
  <si>
    <t>CUST-251</t>
  </si>
  <si>
    <t>6583739168</t>
  </si>
  <si>
    <t>ORD-1252</t>
  </si>
  <si>
    <t>CUST-252</t>
  </si>
  <si>
    <t>8244817796</t>
  </si>
  <si>
    <t>ORD-1253</t>
  </si>
  <si>
    <t>CUST-253</t>
  </si>
  <si>
    <t>8196508611</t>
  </si>
  <si>
    <t>ORD-1254</t>
  </si>
  <si>
    <t>CUST-254</t>
  </si>
  <si>
    <t>anitaver@yahoo.com</t>
  </si>
  <si>
    <t>8168076965</t>
  </si>
  <si>
    <t>ORD-1255</t>
  </si>
  <si>
    <t>CUST-255</t>
  </si>
  <si>
    <t>8106912159</t>
  </si>
  <si>
    <t>ORD-1256</t>
  </si>
  <si>
    <t>CUST-256</t>
  </si>
  <si>
    <t>7508689990</t>
  </si>
  <si>
    <t>ORD-1257</t>
  </si>
  <si>
    <t>CUST-257</t>
  </si>
  <si>
    <t>6429740169</t>
  </si>
  <si>
    <t>ORD-1258</t>
  </si>
  <si>
    <t>CUST-258</t>
  </si>
  <si>
    <t>8041262104</t>
  </si>
  <si>
    <t>ORD-1259</t>
  </si>
  <si>
    <t>CUST-259</t>
  </si>
  <si>
    <t>9894830212</t>
  </si>
  <si>
    <t>ORD-1260</t>
  </si>
  <si>
    <t>CUST-260</t>
  </si>
  <si>
    <t>ORD-1261</t>
  </si>
  <si>
    <t>CUST-261</t>
  </si>
  <si>
    <t>9619584847</t>
  </si>
  <si>
    <t>ORD-1262</t>
  </si>
  <si>
    <t>CUST-262</t>
  </si>
  <si>
    <t>8531801378</t>
  </si>
  <si>
    <t>ORD-1263</t>
  </si>
  <si>
    <t>CUST-263</t>
  </si>
  <si>
    <t>8297423915</t>
  </si>
  <si>
    <t>ORD-1264</t>
  </si>
  <si>
    <t>CUST-264</t>
  </si>
  <si>
    <t>9522909617</t>
  </si>
  <si>
    <t>ORD-1265</t>
  </si>
  <si>
    <t>CUST-265</t>
  </si>
  <si>
    <t>9567491665</t>
  </si>
  <si>
    <t>ORD-1266</t>
  </si>
  <si>
    <t>CUST-266</t>
  </si>
  <si>
    <t>6724801332</t>
  </si>
  <si>
    <t>ORD-1267</t>
  </si>
  <si>
    <t>CUST-267</t>
  </si>
  <si>
    <t>7215335058</t>
  </si>
  <si>
    <t>ORD-1268</t>
  </si>
  <si>
    <t>CUST-268</t>
  </si>
  <si>
    <t>9900803267</t>
  </si>
  <si>
    <t>ORD-1269</t>
  </si>
  <si>
    <t>CUST-269</t>
  </si>
  <si>
    <t>6189675018</t>
  </si>
  <si>
    <t>ORD-1270</t>
  </si>
  <si>
    <t>CUST-270</t>
  </si>
  <si>
    <t>kavyarao@yahoo.com</t>
  </si>
  <si>
    <t>6702463180</t>
  </si>
  <si>
    <t>ORD-1271</t>
  </si>
  <si>
    <t>CUST-271</t>
  </si>
  <si>
    <t>7057238139</t>
  </si>
  <si>
    <t>ORD-1272</t>
  </si>
  <si>
    <t>CUST-272</t>
  </si>
  <si>
    <t>nishapat@rediffmail.com</t>
  </si>
  <si>
    <t>9442665234</t>
  </si>
  <si>
    <t>ORD-1273</t>
  </si>
  <si>
    <t>CUST-273</t>
  </si>
  <si>
    <t>7542083341</t>
  </si>
  <si>
    <t>ORD-1274</t>
  </si>
  <si>
    <t>CUST-274</t>
  </si>
  <si>
    <t>7290179231</t>
  </si>
  <si>
    <t>ORD-1275</t>
  </si>
  <si>
    <t>CUST-275</t>
  </si>
  <si>
    <t>7687738937</t>
  </si>
  <si>
    <t>ORD-1276</t>
  </si>
  <si>
    <t>CUST-276</t>
  </si>
  <si>
    <t>ORD-1277</t>
  </si>
  <si>
    <t>CUST-277</t>
  </si>
  <si>
    <t>9393073720</t>
  </si>
  <si>
    <t>ORD-1278</t>
  </si>
  <si>
    <t>CUST-278</t>
  </si>
  <si>
    <t>9165727232</t>
  </si>
  <si>
    <t>ORD-1279</t>
  </si>
  <si>
    <t>CUST-279</t>
  </si>
  <si>
    <t>7881671087</t>
  </si>
  <si>
    <t>ORD-1280</t>
  </si>
  <si>
    <t>CUST-280</t>
  </si>
  <si>
    <t>8113921661</t>
  </si>
  <si>
    <t>ORD-1281</t>
  </si>
  <si>
    <t>9307532359</t>
  </si>
  <si>
    <t>ORD-1282</t>
  </si>
  <si>
    <t>CUST-282</t>
  </si>
  <si>
    <t>9738737735</t>
  </si>
  <si>
    <t>ORD-1283</t>
  </si>
  <si>
    <t>CUST-283</t>
  </si>
  <si>
    <t>7757970136</t>
  </si>
  <si>
    <t>ORD-1284</t>
  </si>
  <si>
    <t>CUST-284</t>
  </si>
  <si>
    <t>7347310764</t>
  </si>
  <si>
    <t>ORD-1285</t>
  </si>
  <si>
    <t>CUST-285</t>
  </si>
  <si>
    <t>9251489188</t>
  </si>
  <si>
    <t>ORD-1286</t>
  </si>
  <si>
    <t>CUST-286</t>
  </si>
  <si>
    <t>8460010103</t>
  </si>
  <si>
    <t>ORD-1287</t>
  </si>
  <si>
    <t>CUST-287</t>
  </si>
  <si>
    <t>kavyarao@rediffmail.com</t>
  </si>
  <si>
    <t>7890129015</t>
  </si>
  <si>
    <t>ORD-1288</t>
  </si>
  <si>
    <t>CUST-288</t>
  </si>
  <si>
    <t>7309641145</t>
  </si>
  <si>
    <t>ORD-1289</t>
  </si>
  <si>
    <t>CUST-289</t>
  </si>
  <si>
    <t>nehasing@hotmail.com</t>
  </si>
  <si>
    <t>8601503399</t>
  </si>
  <si>
    <t>ORD-1290</t>
  </si>
  <si>
    <t>CUST-290</t>
  </si>
  <si>
    <t>8402402094</t>
  </si>
  <si>
    <t>ORD-1291</t>
  </si>
  <si>
    <t>CUST-291</t>
  </si>
  <si>
    <t>7460102292</t>
  </si>
  <si>
    <t>ORD-1292</t>
  </si>
  <si>
    <t>CUST-292</t>
  </si>
  <si>
    <t>7612816731</t>
  </si>
  <si>
    <t>ORD-1293</t>
  </si>
  <si>
    <t>CUST-293</t>
  </si>
  <si>
    <t>8149340695</t>
  </si>
  <si>
    <t>ORD-1294</t>
  </si>
  <si>
    <t>CUST-294</t>
  </si>
  <si>
    <t>8293896030</t>
  </si>
  <si>
    <t>ORD-1295</t>
  </si>
  <si>
    <t>CUST-295</t>
  </si>
  <si>
    <t>6574347710</t>
  </si>
  <si>
    <t>ORD-1296</t>
  </si>
  <si>
    <t>CUST-296</t>
  </si>
  <si>
    <t>6828889415</t>
  </si>
  <si>
    <t>ORD-1297</t>
  </si>
  <si>
    <t>CUST-297</t>
  </si>
  <si>
    <t>8369899340</t>
  </si>
  <si>
    <t>ORD-1298</t>
  </si>
  <si>
    <t>CUST-298</t>
  </si>
  <si>
    <t>6222749017</t>
  </si>
  <si>
    <t>ORD-1299</t>
  </si>
  <si>
    <t>CUST-299</t>
  </si>
  <si>
    <t>6269913445</t>
  </si>
  <si>
    <t>ORD-1300</t>
  </si>
  <si>
    <t>CUST-300</t>
  </si>
  <si>
    <t>9822880514</t>
  </si>
  <si>
    <t>ORD-1301</t>
  </si>
  <si>
    <t>CUST-301</t>
  </si>
  <si>
    <t>8902436255</t>
  </si>
  <si>
    <t>ORD-1302</t>
  </si>
  <si>
    <t>CUST-302</t>
  </si>
  <si>
    <t>priyasha@outlook.com</t>
  </si>
  <si>
    <t>9330728529</t>
  </si>
  <si>
    <t>ORD-1303</t>
  </si>
  <si>
    <t>CUST-303</t>
  </si>
  <si>
    <t>8484255247</t>
  </si>
  <si>
    <t>ORD-1304</t>
  </si>
  <si>
    <t>CUST-304</t>
  </si>
  <si>
    <t>ravishan@gmail.com</t>
  </si>
  <si>
    <t>6128924554</t>
  </si>
  <si>
    <t>ORD-1305</t>
  </si>
  <si>
    <t>CUST-305</t>
  </si>
  <si>
    <t>kavithan@yahoo.com</t>
  </si>
  <si>
    <t>6476608276</t>
  </si>
  <si>
    <t>ORD-1306</t>
  </si>
  <si>
    <t>CUST-306</t>
  </si>
  <si>
    <t>preethis@rediffmail.com</t>
  </si>
  <si>
    <t>7263505268</t>
  </si>
  <si>
    <t>ORD-1307</t>
  </si>
  <si>
    <t>CUST-307</t>
  </si>
  <si>
    <t>8125115553</t>
  </si>
  <si>
    <t>ORD-1308</t>
  </si>
  <si>
    <t>CUST-308</t>
  </si>
  <si>
    <t>8200148905</t>
  </si>
  <si>
    <t>ORD-1309</t>
  </si>
  <si>
    <t>CUST-309</t>
  </si>
  <si>
    <t>8899563887</t>
  </si>
  <si>
    <t>ORD-1310</t>
  </si>
  <si>
    <t>CUST-310</t>
  </si>
  <si>
    <t>preethis@yahoo.com</t>
  </si>
  <si>
    <t>9375735416</t>
  </si>
  <si>
    <t>ORD-1311</t>
  </si>
  <si>
    <t>CUST-311</t>
  </si>
  <si>
    <t>7286932005</t>
  </si>
  <si>
    <t>ORD-1312</t>
  </si>
  <si>
    <t>CUST-312</t>
  </si>
  <si>
    <t>9549682349</t>
  </si>
  <si>
    <t>ORD-1313</t>
  </si>
  <si>
    <t>CUST-313</t>
  </si>
  <si>
    <t>dineshk@yahoo.com</t>
  </si>
  <si>
    <t>8855262673</t>
  </si>
  <si>
    <t>ORD-1314</t>
  </si>
  <si>
    <t>CUST-314</t>
  </si>
  <si>
    <t>9403103542</t>
  </si>
  <si>
    <t>ORD-1315</t>
  </si>
  <si>
    <t>CUST-315</t>
  </si>
  <si>
    <t>sitadevi@yahoo.com</t>
  </si>
  <si>
    <t>9272167208</t>
  </si>
  <si>
    <t>ORD-1316</t>
  </si>
  <si>
    <t>CUST-316</t>
  </si>
  <si>
    <t>8082025057</t>
  </si>
  <si>
    <t>ORD-1317</t>
  </si>
  <si>
    <t>CUST-317</t>
  </si>
  <si>
    <t>9592745045</t>
  </si>
  <si>
    <t>ORD-1318</t>
  </si>
  <si>
    <t>CUST-318</t>
  </si>
  <si>
    <t>7405061904</t>
  </si>
  <si>
    <t>ORD-1319</t>
  </si>
  <si>
    <t>CUST-319</t>
  </si>
  <si>
    <t>6437286028</t>
  </si>
  <si>
    <t>ORD-1320</t>
  </si>
  <si>
    <t>CUST-320</t>
  </si>
  <si>
    <t>9851638315</t>
  </si>
  <si>
    <t>ORD-1321</t>
  </si>
  <si>
    <t>CUST-321</t>
  </si>
  <si>
    <t>arjunmeh@yahoo.com</t>
  </si>
  <si>
    <t>7040451458</t>
  </si>
  <si>
    <t>ORD-1322</t>
  </si>
  <si>
    <t>CUST-322</t>
  </si>
  <si>
    <t>6705056722</t>
  </si>
  <si>
    <t>ORD-1323</t>
  </si>
  <si>
    <t>CUST-323</t>
  </si>
  <si>
    <t>8556293060</t>
  </si>
  <si>
    <t>ORD-1324</t>
  </si>
  <si>
    <t>CUST-324</t>
  </si>
  <si>
    <t>9958255823</t>
  </si>
  <si>
    <t>ORD-1325</t>
  </si>
  <si>
    <t>CUST-325</t>
  </si>
  <si>
    <t>7062638465</t>
  </si>
  <si>
    <t>ORD-1326</t>
  </si>
  <si>
    <t>CUST-326</t>
  </si>
  <si>
    <t>9425382217</t>
  </si>
  <si>
    <t>ORD-1327</t>
  </si>
  <si>
    <t>CUST-327</t>
  </si>
  <si>
    <t>aaravsha@yahoo.com</t>
  </si>
  <si>
    <t>6784816771</t>
  </si>
  <si>
    <t>ORD-1328</t>
  </si>
  <si>
    <t>CUST-328</t>
  </si>
  <si>
    <t>8233701335</t>
  </si>
  <si>
    <t>ORD-1329</t>
  </si>
  <si>
    <t>CUST-329</t>
  </si>
  <si>
    <t>anitaver@rediffmail.com</t>
  </si>
  <si>
    <t>9500620658</t>
  </si>
  <si>
    <t>ORD-1330</t>
  </si>
  <si>
    <t>CUST-330</t>
  </si>
  <si>
    <t>9736014761</t>
  </si>
  <si>
    <t>ORD-1331</t>
  </si>
  <si>
    <t>CUST-331</t>
  </si>
  <si>
    <t>6946507856</t>
  </si>
  <si>
    <t>ORD-1332</t>
  </si>
  <si>
    <t>CUST-332</t>
  </si>
  <si>
    <t>7461310436</t>
  </si>
  <si>
    <t>ORD-1333</t>
  </si>
  <si>
    <t>CUST-333</t>
  </si>
  <si>
    <t>7274847434</t>
  </si>
  <si>
    <t>ORD-1334</t>
  </si>
  <si>
    <t>CUST-334</t>
  </si>
  <si>
    <t>9717001674</t>
  </si>
  <si>
    <t>ORD-1335</t>
  </si>
  <si>
    <t>CUST-335</t>
  </si>
  <si>
    <t>9047655254</t>
  </si>
  <si>
    <t>ORD-1336</t>
  </si>
  <si>
    <t>CUST-336</t>
  </si>
  <si>
    <t>sitadevi@hotmail.com</t>
  </si>
  <si>
    <t>8213777230</t>
  </si>
  <si>
    <t>ORD-1337</t>
  </si>
  <si>
    <t>CUST-337</t>
  </si>
  <si>
    <t>preethis@gmail.com</t>
  </si>
  <si>
    <t>9901885221</t>
  </si>
  <si>
    <t>ORD-1338</t>
  </si>
  <si>
    <t>CUST-338</t>
  </si>
  <si>
    <t>6775946689</t>
  </si>
  <si>
    <t>ORD-1339</t>
  </si>
  <si>
    <t>CUST-339</t>
  </si>
  <si>
    <t>8293952330</t>
  </si>
  <si>
    <t>ORD-1340</t>
  </si>
  <si>
    <t>CUST-340</t>
  </si>
  <si>
    <t>7119588195</t>
  </si>
  <si>
    <t>ORD-1341</t>
  </si>
  <si>
    <t>CUST-341</t>
  </si>
  <si>
    <t>7062994474</t>
  </si>
  <si>
    <t>ORD-1342</t>
  </si>
  <si>
    <t>CUST-342</t>
  </si>
  <si>
    <t>8457400192</t>
  </si>
  <si>
    <t>ORD-1343</t>
  </si>
  <si>
    <t>CUST-343</t>
  </si>
  <si>
    <t>7589785135</t>
  </si>
  <si>
    <t>ORD-1344</t>
  </si>
  <si>
    <t>CUST-344</t>
  </si>
  <si>
    <t>6246580623</t>
  </si>
  <si>
    <t>ORD-1345</t>
  </si>
  <si>
    <t>CUST-345</t>
  </si>
  <si>
    <t>7926945825</t>
  </si>
  <si>
    <t>ORD-1346</t>
  </si>
  <si>
    <t>CUST-346</t>
  </si>
  <si>
    <t>9990492791</t>
  </si>
  <si>
    <t>ORD-1347</t>
  </si>
  <si>
    <t>CUST-347</t>
  </si>
  <si>
    <t>7607646915</t>
  </si>
  <si>
    <t>ORD-1348</t>
  </si>
  <si>
    <t>CUST-348</t>
  </si>
  <si>
    <t>8128446595</t>
  </si>
  <si>
    <t>ORD-1349</t>
  </si>
  <si>
    <t>CUST-349</t>
  </si>
  <si>
    <t>7842334552</t>
  </si>
  <si>
    <t>ORD-1350</t>
  </si>
  <si>
    <t>CUST-350</t>
  </si>
  <si>
    <t>6627963449</t>
  </si>
  <si>
    <t>ORD-1351</t>
  </si>
  <si>
    <t>CUST-351</t>
  </si>
  <si>
    <t>6910436665</t>
  </si>
  <si>
    <t>ORD-1352</t>
  </si>
  <si>
    <t>CUST-352</t>
  </si>
  <si>
    <t>8703933724</t>
  </si>
  <si>
    <t>ORD-1353</t>
  </si>
  <si>
    <t>CUST-353</t>
  </si>
  <si>
    <t>7799609152</t>
  </si>
  <si>
    <t>ORD-1354</t>
  </si>
  <si>
    <t>CUST-354</t>
  </si>
  <si>
    <t>716934628</t>
  </si>
  <si>
    <t>ORD-1355</t>
  </si>
  <si>
    <t>CUST-355</t>
  </si>
  <si>
    <t>786542187</t>
  </si>
  <si>
    <t>ORD-1356</t>
  </si>
  <si>
    <t>CUST-356</t>
  </si>
  <si>
    <t>8366002146</t>
  </si>
  <si>
    <t>ORD-1357</t>
  </si>
  <si>
    <t>CUST-357</t>
  </si>
  <si>
    <t>8952218016</t>
  </si>
  <si>
    <t>ORD-1358</t>
  </si>
  <si>
    <t>CUST-358</t>
  </si>
  <si>
    <t>ORD-1359</t>
  </si>
  <si>
    <t>CUST-359</t>
  </si>
  <si>
    <t>ravikuma@yahoo.com</t>
  </si>
  <si>
    <t>ORD-1360</t>
  </si>
  <si>
    <t>CUST-360</t>
  </si>
  <si>
    <t>9835910672</t>
  </si>
  <si>
    <t>ORD-1361</t>
  </si>
  <si>
    <t>CUST-361</t>
  </si>
  <si>
    <t>6547761887</t>
  </si>
  <si>
    <t>ORD-1362</t>
  </si>
  <si>
    <t>CUST-362</t>
  </si>
  <si>
    <t>6012309827</t>
  </si>
  <si>
    <t>ORD-1363</t>
  </si>
  <si>
    <t>CUST-363</t>
  </si>
  <si>
    <t>8846478071</t>
  </si>
  <si>
    <t>ORD-1364</t>
  </si>
  <si>
    <t>CUST-364</t>
  </si>
  <si>
    <t>ORD-1365</t>
  </si>
  <si>
    <t>CUST-365</t>
  </si>
  <si>
    <t>8598813438</t>
  </si>
  <si>
    <t>ORD-1366</t>
  </si>
  <si>
    <t>CUST-366</t>
  </si>
  <si>
    <t>8448658676</t>
  </si>
  <si>
    <t>ORD-1367</t>
  </si>
  <si>
    <t>ORD-1368</t>
  </si>
  <si>
    <t>CUST-368</t>
  </si>
  <si>
    <t>7850707619</t>
  </si>
  <si>
    <t>ORD-1369</t>
  </si>
  <si>
    <t>CUST-369</t>
  </si>
  <si>
    <t>7107861448</t>
  </si>
  <si>
    <t>ORD-1370</t>
  </si>
  <si>
    <t>CUST-370</t>
  </si>
  <si>
    <t>6183290189</t>
  </si>
  <si>
    <t>ORD-1371</t>
  </si>
  <si>
    <t>CUST-371</t>
  </si>
  <si>
    <t>7411844389</t>
  </si>
  <si>
    <t>ORD-1372</t>
  </si>
  <si>
    <t>CUST-372</t>
  </si>
  <si>
    <t>7158988822</t>
  </si>
  <si>
    <t>ORD-1373</t>
  </si>
  <si>
    <t>CUST-373</t>
  </si>
  <si>
    <t>lakshmid@rediffmail.com</t>
  </si>
  <si>
    <t>8992261129</t>
  </si>
  <si>
    <t>ORD-1374</t>
  </si>
  <si>
    <t>CUST-374</t>
  </si>
  <si>
    <t>8484110392</t>
  </si>
  <si>
    <t>ORD-1375</t>
  </si>
  <si>
    <t>CUST-375</t>
  </si>
  <si>
    <t>8246997276</t>
  </si>
  <si>
    <t>ORD-1376</t>
  </si>
  <si>
    <t>CUST-376</t>
  </si>
  <si>
    <t>7907409402</t>
  </si>
  <si>
    <t>ORD-1377</t>
  </si>
  <si>
    <t>CUST-377</t>
  </si>
  <si>
    <t>arunshar@outlook.com</t>
  </si>
  <si>
    <t>9905575726</t>
  </si>
  <si>
    <t>ORD-1378</t>
  </si>
  <si>
    <t>CUST-378</t>
  </si>
  <si>
    <t>6680510314</t>
  </si>
  <si>
    <t>ORD-1379</t>
  </si>
  <si>
    <t>CUST-379</t>
  </si>
  <si>
    <t>8712279536</t>
  </si>
  <si>
    <t>ORD-1380</t>
  </si>
  <si>
    <t>CUST-380</t>
  </si>
  <si>
    <t>7552189659</t>
  </si>
  <si>
    <t>ORD-1381</t>
  </si>
  <si>
    <t>CUST-381</t>
  </si>
  <si>
    <t>6021537349</t>
  </si>
  <si>
    <t>ORD-1382</t>
  </si>
  <si>
    <t>CUST-382</t>
  </si>
  <si>
    <t>9474678928</t>
  </si>
  <si>
    <t>ORD-1383</t>
  </si>
  <si>
    <t>CUST-383</t>
  </si>
  <si>
    <t>9856428261</t>
  </si>
  <si>
    <t>ORD-1384</t>
  </si>
  <si>
    <t>CUST-384</t>
  </si>
  <si>
    <t>8437261880</t>
  </si>
  <si>
    <t>ORD-1385</t>
  </si>
  <si>
    <t>CUST-385</t>
  </si>
  <si>
    <t>6735039551</t>
  </si>
  <si>
    <t>ORD-1386</t>
  </si>
  <si>
    <t>CUST-386</t>
  </si>
  <si>
    <t>6202176030</t>
  </si>
  <si>
    <t>ORD-1387</t>
  </si>
  <si>
    <t>CUST-387</t>
  </si>
  <si>
    <t>6475897833</t>
  </si>
  <si>
    <t>ORD-1388</t>
  </si>
  <si>
    <t>CUST-388</t>
  </si>
  <si>
    <t>6394275305</t>
  </si>
  <si>
    <t>ORD-1389</t>
  </si>
  <si>
    <t>CUST-389</t>
  </si>
  <si>
    <t>lakshmid@outlook.com</t>
  </si>
  <si>
    <t>9641303241</t>
  </si>
  <si>
    <t>ORD-1390</t>
  </si>
  <si>
    <t>CUST-390</t>
  </si>
  <si>
    <t>8280135461</t>
  </si>
  <si>
    <t>ORD-1391</t>
  </si>
  <si>
    <t>CUST-391</t>
  </si>
  <si>
    <t>6477096961</t>
  </si>
  <si>
    <t>ORD-1392</t>
  </si>
  <si>
    <t>CUST-392</t>
  </si>
  <si>
    <t>9894108415</t>
  </si>
  <si>
    <t>ORD-1393</t>
  </si>
  <si>
    <t>CUST-393</t>
  </si>
  <si>
    <t>7248369039</t>
  </si>
  <si>
    <t>ORD-1394</t>
  </si>
  <si>
    <t>CUST-394</t>
  </si>
  <si>
    <t>6945990607</t>
  </si>
  <si>
    <t>ORD-1395</t>
  </si>
  <si>
    <t>CUST-395</t>
  </si>
  <si>
    <t>8233716848</t>
  </si>
  <si>
    <t>ORD-1396</t>
  </si>
  <si>
    <t>CUST-396</t>
  </si>
  <si>
    <t>8097517915</t>
  </si>
  <si>
    <t>ORD-1397</t>
  </si>
  <si>
    <t>CUST-397</t>
  </si>
  <si>
    <t>7814895510</t>
  </si>
  <si>
    <t>ORD-1398</t>
  </si>
  <si>
    <t>CUST-398</t>
  </si>
  <si>
    <t>8981280198</t>
  </si>
  <si>
    <t>ORD-1399</t>
  </si>
  <si>
    <t>CUST-399</t>
  </si>
  <si>
    <t>7987744439</t>
  </si>
  <si>
    <t>ORD-1400</t>
  </si>
  <si>
    <t>CUST-400</t>
  </si>
  <si>
    <t>deepikar@yahoo.com</t>
  </si>
  <si>
    <t>6027705952</t>
  </si>
  <si>
    <t>ORD-1401</t>
  </si>
  <si>
    <t>CUST-401</t>
  </si>
  <si>
    <t>6093019873</t>
  </si>
  <si>
    <t>ORD-1402</t>
  </si>
  <si>
    <t>CUST-402</t>
  </si>
  <si>
    <t>6146387689</t>
  </si>
  <si>
    <t>ORD-1403</t>
  </si>
  <si>
    <t>CUST-403</t>
  </si>
  <si>
    <t>9604875522</t>
  </si>
  <si>
    <t>ORD-1404</t>
  </si>
  <si>
    <t>CUST-404</t>
  </si>
  <si>
    <t>9146695115</t>
  </si>
  <si>
    <t>ORD-1405</t>
  </si>
  <si>
    <t>CUST-405</t>
  </si>
  <si>
    <t>8109271409</t>
  </si>
  <si>
    <t>ORD-1406</t>
  </si>
  <si>
    <t>CUST-406</t>
  </si>
  <si>
    <t>7531092238</t>
  </si>
  <si>
    <t>ORD-1407</t>
  </si>
  <si>
    <t>CUST-407</t>
  </si>
  <si>
    <t>8147685544</t>
  </si>
  <si>
    <t>ORD-1408</t>
  </si>
  <si>
    <t>CUST-408</t>
  </si>
  <si>
    <t>9288116238</t>
  </si>
  <si>
    <t>ORD-1409</t>
  </si>
  <si>
    <t>CUST-409</t>
  </si>
  <si>
    <t>8372952079</t>
  </si>
  <si>
    <t>ORD-1410</t>
  </si>
  <si>
    <t>CUST-410</t>
  </si>
  <si>
    <t>venkatre@gmail.com</t>
  </si>
  <si>
    <t>6244313440</t>
  </si>
  <si>
    <t>ORD-1411</t>
  </si>
  <si>
    <t>CUST-411</t>
  </si>
  <si>
    <t>9835313369</t>
  </si>
  <si>
    <t>ORD-1412</t>
  </si>
  <si>
    <t>CUST-412</t>
  </si>
  <si>
    <t>618122712</t>
  </si>
  <si>
    <t>ORD-1413</t>
  </si>
  <si>
    <t>CUST-413</t>
  </si>
  <si>
    <t>9252373514</t>
  </si>
  <si>
    <t>ORD-1414</t>
  </si>
  <si>
    <t>CUST-414</t>
  </si>
  <si>
    <t>priyasha@hotmail.com</t>
  </si>
  <si>
    <t>6566388979</t>
  </si>
  <si>
    <t>ORD-1415</t>
  </si>
  <si>
    <t>CUST-415</t>
  </si>
  <si>
    <t>ORD-1416</t>
  </si>
  <si>
    <t>CUST-416</t>
  </si>
  <si>
    <t>8490611661</t>
  </si>
  <si>
    <t>ORD-1417</t>
  </si>
  <si>
    <t>CUST-417</t>
  </si>
  <si>
    <t>ORD-1418</t>
  </si>
  <si>
    <t>CUST-418</t>
  </si>
  <si>
    <t>9275392865</t>
  </si>
  <si>
    <t>ORD-1419</t>
  </si>
  <si>
    <t>CUST-419</t>
  </si>
  <si>
    <t>6495711899</t>
  </si>
  <si>
    <t>ORD-1420</t>
  </si>
  <si>
    <t>CUST-420</t>
  </si>
  <si>
    <t>7808278260</t>
  </si>
  <si>
    <t>ORD-1421</t>
  </si>
  <si>
    <t>CUST-421</t>
  </si>
  <si>
    <t>7036955025</t>
  </si>
  <si>
    <t>ORD-1422</t>
  </si>
  <si>
    <t>CUST-422</t>
  </si>
  <si>
    <t>rahulgup@rediffmail.com</t>
  </si>
  <si>
    <t>7947884297</t>
  </si>
  <si>
    <t>ORD-1423</t>
  </si>
  <si>
    <t>CUST-423</t>
  </si>
  <si>
    <t>6711214547</t>
  </si>
  <si>
    <t>ORD-1424</t>
  </si>
  <si>
    <t>CUST-424</t>
  </si>
  <si>
    <t>8453135685</t>
  </si>
  <si>
    <t>ORD-1425</t>
  </si>
  <si>
    <t>CUST-425</t>
  </si>
  <si>
    <t>8886567960</t>
  </si>
  <si>
    <t>ORD-1426</t>
  </si>
  <si>
    <t>CUST-426</t>
  </si>
  <si>
    <t>6852864391</t>
  </si>
  <si>
    <t>ORD-1427</t>
  </si>
  <si>
    <t>CUST-427</t>
  </si>
  <si>
    <t>rohityad@hotmail.com</t>
  </si>
  <si>
    <t>7268807306</t>
  </si>
  <si>
    <t>ORD-1428</t>
  </si>
  <si>
    <t>CUST-428</t>
  </si>
  <si>
    <t>9362220210</t>
  </si>
  <si>
    <t>ORD-1429</t>
  </si>
  <si>
    <t>CUST-429</t>
  </si>
  <si>
    <t>8318282966</t>
  </si>
  <si>
    <t>ORD-1430</t>
  </si>
  <si>
    <t>CUST-430</t>
  </si>
  <si>
    <t>610752650</t>
  </si>
  <si>
    <t>ORD-1431</t>
  </si>
  <si>
    <t>CUST-431</t>
  </si>
  <si>
    <t>6652180311</t>
  </si>
  <si>
    <t>ORD-1432</t>
  </si>
  <si>
    <t>CUST-432</t>
  </si>
  <si>
    <t>deepakri@rediffmail.com</t>
  </si>
  <si>
    <t>8134748605</t>
  </si>
  <si>
    <t>ORD-1433</t>
  </si>
  <si>
    <t>CUST-433</t>
  </si>
  <si>
    <t>9105400552</t>
  </si>
  <si>
    <t>ORD-1434</t>
  </si>
  <si>
    <t>9250803652</t>
  </si>
  <si>
    <t>ORD-1435</t>
  </si>
  <si>
    <t>ravikuma@outlook.com</t>
  </si>
  <si>
    <t>7246385682</t>
  </si>
  <si>
    <t>ORD-1436</t>
  </si>
  <si>
    <t>CUST-436</t>
  </si>
  <si>
    <t>8553162493</t>
  </si>
  <si>
    <t>ORD-1437</t>
  </si>
  <si>
    <t>CUST-437</t>
  </si>
  <si>
    <t>user@outlook.com</t>
  </si>
  <si>
    <t>8243337877</t>
  </si>
  <si>
    <t>ORD-1438</t>
  </si>
  <si>
    <t>CUST-438</t>
  </si>
  <si>
    <t>7827103713</t>
  </si>
  <si>
    <t>ORD-1439</t>
  </si>
  <si>
    <t>CUST-439</t>
  </si>
  <si>
    <t>7870086183</t>
  </si>
  <si>
    <t>ORD-1440</t>
  </si>
  <si>
    <t>CUST-440</t>
  </si>
  <si>
    <t>aaravsha@gmail.com</t>
  </si>
  <si>
    <t>7710659735</t>
  </si>
  <si>
    <t>ORD-1441</t>
  </si>
  <si>
    <t>CUST-441</t>
  </si>
  <si>
    <t>6267685864</t>
  </si>
  <si>
    <t>ORD-1442</t>
  </si>
  <si>
    <t>6741247904</t>
  </si>
  <si>
    <t>ORD-1443</t>
  </si>
  <si>
    <t>CUST-443</t>
  </si>
  <si>
    <t>6934266427</t>
  </si>
  <si>
    <t>ORD-1444</t>
  </si>
  <si>
    <t>CUST-444</t>
  </si>
  <si>
    <t>8104042880</t>
  </si>
  <si>
    <t>ORD-1445</t>
  </si>
  <si>
    <t>CUST-445</t>
  </si>
  <si>
    <t>6135068330</t>
  </si>
  <si>
    <t>ORD-1446</t>
  </si>
  <si>
    <t>CUST-446</t>
  </si>
  <si>
    <t>8648329782</t>
  </si>
  <si>
    <t>ORD-1447</t>
  </si>
  <si>
    <t>CUST-447</t>
  </si>
  <si>
    <t>9807897578</t>
  </si>
  <si>
    <t>ORD-1448</t>
  </si>
  <si>
    <t>CUST-448</t>
  </si>
  <si>
    <t>6662017406</t>
  </si>
  <si>
    <t>ORD-1449</t>
  </si>
  <si>
    <t>CUST-449</t>
  </si>
  <si>
    <t>9180118830</t>
  </si>
  <si>
    <t>ORD-1450</t>
  </si>
  <si>
    <t>CUST-450</t>
  </si>
  <si>
    <t>saranyam@outlook.com</t>
  </si>
  <si>
    <t>8064384875</t>
  </si>
  <si>
    <t>ORD-1451</t>
  </si>
  <si>
    <t>CUST-451</t>
  </si>
  <si>
    <t>8723512559</t>
  </si>
  <si>
    <t>ORD-1452</t>
  </si>
  <si>
    <t>CUST-452</t>
  </si>
  <si>
    <t>8102907940</t>
  </si>
  <si>
    <t>ORD-1453</t>
  </si>
  <si>
    <t>7179811350</t>
  </si>
  <si>
    <t>ORD-1454</t>
  </si>
  <si>
    <t>CUST-454</t>
  </si>
  <si>
    <t>aaravsha@outlook.com</t>
  </si>
  <si>
    <t>6340519100</t>
  </si>
  <si>
    <t>ORD-1455</t>
  </si>
  <si>
    <t>CUST-455</t>
  </si>
  <si>
    <t>6080397265</t>
  </si>
  <si>
    <t>ORD-1456</t>
  </si>
  <si>
    <t>CUST-456</t>
  </si>
  <si>
    <t>9669431030</t>
  </si>
  <si>
    <t>ORD-1457</t>
  </si>
  <si>
    <t>CUST-457</t>
  </si>
  <si>
    <t>6100538078</t>
  </si>
  <si>
    <t>ORD-1458</t>
  </si>
  <si>
    <t>CUST-458</t>
  </si>
  <si>
    <t>8707013363</t>
  </si>
  <si>
    <t>ORD-1459</t>
  </si>
  <si>
    <t>CUST-459</t>
  </si>
  <si>
    <t>8662537389</t>
  </si>
  <si>
    <t>ORD-1460</t>
  </si>
  <si>
    <t>CUST-460</t>
  </si>
  <si>
    <t>9841614871</t>
  </si>
  <si>
    <t>ORD-1461</t>
  </si>
  <si>
    <t>CUST-461</t>
  </si>
  <si>
    <t>priyasha@gmail.com</t>
  </si>
  <si>
    <t>9793989568</t>
  </si>
  <si>
    <t>ORD-1462</t>
  </si>
  <si>
    <t>CUST-462</t>
  </si>
  <si>
    <t>6725649626</t>
  </si>
  <si>
    <t>ORD-1463</t>
  </si>
  <si>
    <t>CUST-463</t>
  </si>
  <si>
    <t>799099179</t>
  </si>
  <si>
    <t>ORD-1464</t>
  </si>
  <si>
    <t>CUST-464</t>
  </si>
  <si>
    <t>7743089433</t>
  </si>
  <si>
    <t>ORD-1465</t>
  </si>
  <si>
    <t>CUST-465</t>
  </si>
  <si>
    <t>6513641216</t>
  </si>
  <si>
    <t>ORD-1466</t>
  </si>
  <si>
    <t>CUST-466</t>
  </si>
  <si>
    <t>6784624638</t>
  </si>
  <si>
    <t>ORD-1467</t>
  </si>
  <si>
    <t>CUST-467</t>
  </si>
  <si>
    <t>6358141037</t>
  </si>
  <si>
    <t>ORD-1468</t>
  </si>
  <si>
    <t>CUST-468</t>
  </si>
  <si>
    <t>7465194957</t>
  </si>
  <si>
    <t>ORD-1469</t>
  </si>
  <si>
    <t>CUST-469</t>
  </si>
  <si>
    <t>7374457648</t>
  </si>
  <si>
    <t>ORD-1470</t>
  </si>
  <si>
    <t>CUST-470</t>
  </si>
  <si>
    <t>9121194116</t>
  </si>
  <si>
    <t>ORD-1471</t>
  </si>
  <si>
    <t>CUST-471</t>
  </si>
  <si>
    <t>6856640430</t>
  </si>
  <si>
    <t>ORD-1472</t>
  </si>
  <si>
    <t>CUST-472</t>
  </si>
  <si>
    <t>8026541115</t>
  </si>
  <si>
    <t>ORD-1473</t>
  </si>
  <si>
    <t>CUST-473</t>
  </si>
  <si>
    <t>7979136775</t>
  </si>
  <si>
    <t>ORD-1474</t>
  </si>
  <si>
    <t>CUST-474</t>
  </si>
  <si>
    <t>8427974255</t>
  </si>
  <si>
    <t>ORD-1475</t>
  </si>
  <si>
    <t>CUST-475</t>
  </si>
  <si>
    <t>9175950536</t>
  </si>
  <si>
    <t>ORD-1476</t>
  </si>
  <si>
    <t>CUST-476</t>
  </si>
  <si>
    <t>ORD-1477</t>
  </si>
  <si>
    <t>CUST-477</t>
  </si>
  <si>
    <t>7714457336</t>
  </si>
  <si>
    <t>ORD-1478</t>
  </si>
  <si>
    <t>CUST-478</t>
  </si>
  <si>
    <t>ORD-1479</t>
  </si>
  <si>
    <t>CUST-479</t>
  </si>
  <si>
    <t>6167464267</t>
  </si>
  <si>
    <t>ORD-1480</t>
  </si>
  <si>
    <t>CUST-480</t>
  </si>
  <si>
    <t>613867393</t>
  </si>
  <si>
    <t>Unknown</t>
  </si>
  <si>
    <t>Arjun Mehta</t>
  </si>
  <si>
    <t>Rekha Pandey</t>
  </si>
  <si>
    <t>Dinesh K</t>
  </si>
  <si>
    <t>Swati Gupta</t>
  </si>
  <si>
    <t>Nisha Patel</t>
  </si>
  <si>
    <t>Rashmi Verma</t>
  </si>
  <si>
    <t>Arun Sharma</t>
  </si>
  <si>
    <t>Amit Singh</t>
  </si>
  <si>
    <t>Suresh Babu</t>
  </si>
  <si>
    <t>Padma Lakshmi</t>
  </si>
  <si>
    <t>Deepa Krishnan</t>
  </si>
  <si>
    <t>Priya Sharma</t>
  </si>
  <si>
    <t>Sita Devi</t>
  </si>
  <si>
    <t>Deepika Rao</t>
  </si>
  <si>
    <t>Manish Tiwari</t>
  </si>
  <si>
    <t>Aarav Shah</t>
  </si>
  <si>
    <t>Kavitha N</t>
  </si>
  <si>
    <t>Neha Singh</t>
  </si>
  <si>
    <t>Manoj Kumar</t>
  </si>
  <si>
    <t>Pooja Iyer</t>
  </si>
  <si>
    <t>Kiran Kumar</t>
  </si>
  <si>
    <t>Sanjay Shah</t>
  </si>
  <si>
    <t>Ravi Shankar</t>
  </si>
  <si>
    <t>Sneha Reddy</t>
  </si>
  <si>
    <t>MISSING</t>
  </si>
  <si>
    <t>Not provided</t>
  </si>
  <si>
    <t>Check Requried</t>
  </si>
  <si>
    <t>Total_Amount2</t>
  </si>
  <si>
    <t>Customer_ID</t>
  </si>
  <si>
    <t>Upi</t>
  </si>
  <si>
    <t>Emi</t>
  </si>
  <si>
    <t>Return_Flag</t>
  </si>
  <si>
    <t>total sales</t>
  </si>
  <si>
    <t>total orders</t>
  </si>
  <si>
    <t>qty sold</t>
  </si>
  <si>
    <t>avg order value</t>
  </si>
  <si>
    <t>return rate</t>
  </si>
  <si>
    <t>KPI</t>
  </si>
  <si>
    <t>Sum of Total_Amount2</t>
  </si>
  <si>
    <t>Row Labels</t>
  </si>
  <si>
    <t>Grand Total</t>
  </si>
  <si>
    <t>Jan</t>
  </si>
  <si>
    <t>Feb</t>
  </si>
  <si>
    <t>Mar</t>
  </si>
  <si>
    <t>Apr</t>
  </si>
  <si>
    <t>May</t>
  </si>
  <si>
    <t>Jun</t>
  </si>
  <si>
    <t>Count of Order_Status</t>
  </si>
  <si>
    <t>Count of Payment_Mode</t>
  </si>
  <si>
    <t>Count of Order_ID</t>
  </si>
  <si>
    <t>Total Sales</t>
  </si>
  <si>
    <t>Total Orders</t>
  </si>
  <si>
    <t>Average of Total_Amount2</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</si>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</sst>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14009]yyyy/mm/dd;@"/>
    <numFmt numFmtId="166" formatCode="0.0"/>
    <numFmt numFmtId="167" formatCode="#,##0,&quot;K&quot;"/>
  </numFmts>
  <fonts count="9" x14ac:knownFonts="1">
    <font>
      <sz val="11"/>
      <color theme="1"/>
      <name val="Calibri"/>
      <family val="2"/>
      <scheme val="minor"/>
    </font>
    <font>
      <b/>
      <sz val="10"/>
      <color rgb="FFFFFFFF"/>
      <name val="Arial"/>
    </font>
    <font>
      <sz val="9"/>
      <color rgb="FF374151"/>
      <name val="Arial"/>
    </font>
    <font>
      <sz val="9"/>
      <color rgb="FFDC2626"/>
      <name val="Arial"/>
    </font>
    <font>
      <sz val="9"/>
      <color rgb="FF374151"/>
      <name val="Arial"/>
      <family val="2"/>
    </font>
    <font>
      <b/>
      <sz val="10"/>
      <color rgb="FFFFFFFF"/>
      <name val="Arial"/>
      <family val="2"/>
    </font>
    <font>
      <sz val="8"/>
      <name val="Calibri"/>
      <family val="2"/>
      <scheme val="minor"/>
    </font>
    <font>
      <sz val="11"/>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rgb="FF1B2A4A"/>
      </patternFill>
    </fill>
    <fill>
      <patternFill patternType="solid">
        <fgColor rgb="FFF3F4F6"/>
      </patternFill>
    </fill>
    <fill>
      <patternFill patternType="solid">
        <fgColor rgb="FFFEE2E2"/>
      </patternFill>
    </fill>
    <fill>
      <patternFill patternType="solid">
        <fgColor rgb="FFFFFFFF"/>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s>
  <cellStyleXfs count="2">
    <xf numFmtId="0" fontId="0" fillId="0" borderId="0"/>
    <xf numFmtId="9" fontId="7" fillId="0" borderId="0" applyFont="0" applyFill="0" applyBorder="0" applyAlignment="0" applyProtection="0"/>
  </cellStyleXfs>
  <cellXfs count="27">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4" borderId="1" xfId="0" applyFont="1" applyFill="1" applyBorder="1" applyAlignment="1">
      <alignment horizontal="left" vertical="center"/>
    </xf>
    <xf numFmtId="3" fontId="2" fillId="3"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2" borderId="2" xfId="0" applyFont="1" applyFill="1" applyBorder="1" applyAlignment="1">
      <alignment horizontal="center" vertical="center"/>
    </xf>
    <xf numFmtId="0" fontId="4" fillId="3" borderId="1" xfId="0" applyFont="1" applyFill="1" applyBorder="1" applyAlignment="1">
      <alignment horizontal="left" vertical="center"/>
    </xf>
    <xf numFmtId="0" fontId="5" fillId="2" borderId="2"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66" fontId="4" fillId="5" borderId="1" xfId="0" applyNumberFormat="1" applyFont="1" applyFill="1" applyBorder="1" applyAlignment="1">
      <alignment horizontal="center" vertical="center"/>
    </xf>
    <xf numFmtId="166" fontId="4" fillId="3" borderId="1" xfId="0" applyNumberFormat="1" applyFont="1" applyFill="1" applyBorder="1" applyAlignment="1">
      <alignment horizontal="center" vertical="center"/>
    </xf>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167" fontId="0" fillId="0" borderId="0" xfId="0" applyNumberFormat="1"/>
    <xf numFmtId="3" fontId="4" fillId="3" borderId="1" xfId="0" applyNumberFormat="1" applyFont="1" applyFill="1" applyBorder="1" applyAlignment="1">
      <alignment horizontal="center" vertical="center"/>
    </xf>
    <xf numFmtId="167" fontId="8" fillId="0" borderId="0" xfId="0" applyNumberFormat="1" applyFont="1"/>
    <xf numFmtId="0" fontId="8" fillId="0" borderId="0" xfId="0" applyFont="1" applyAlignment="1">
      <alignment horizontal="left"/>
    </xf>
    <xf numFmtId="2" fontId="8" fillId="0" borderId="0" xfId="0" applyNumberFormat="1" applyFont="1"/>
    <xf numFmtId="2" fontId="0" fillId="0" borderId="0" xfId="1" applyNumberFormat="1" applyFont="1"/>
    <xf numFmtId="10" fontId="8" fillId="0" borderId="0" xfId="1" applyNumberFormat="1" applyFont="1"/>
    <xf numFmtId="0" fontId="8" fillId="0" borderId="0" xfId="0" applyFont="1"/>
  </cellXfs>
  <cellStyles count="2">
    <cellStyle name="Normal" xfId="0" builtinId="0"/>
    <cellStyle name="Percent" xfId="1" builtinId="5"/>
  </cellStyles>
  <dxfs count="37">
    <dxf>
      <numFmt numFmtId="167" formatCode="#,##0,&quot;K&quot;"/>
    </dxf>
    <dxf>
      <numFmt numFmtId="167" formatCode="#,##0,&quot;K&quot;"/>
    </dxf>
    <dxf>
      <numFmt numFmtId="167" formatCode="#,##0,&quot;K&quot;"/>
    </dxf>
    <dxf>
      <font>
        <color theme="1"/>
      </font>
    </dxf>
    <dxf>
      <font>
        <b/>
      </font>
    </dxf>
    <dxf>
      <font>
        <sz val="24"/>
      </font>
    </dxf>
    <dxf>
      <numFmt numFmtId="167" formatCode="#,##0,&quot;K&quot;"/>
    </dxf>
    <dxf>
      <numFmt numFmtId="167" formatCode="#,##0,&quot;K&quot;"/>
    </dxf>
    <dxf>
      <font>
        <sz val="24"/>
      </font>
    </dxf>
    <dxf>
      <font>
        <b/>
      </font>
    </dxf>
    <dxf>
      <numFmt numFmtId="2" formatCode="0.00"/>
    </dxf>
    <dxf>
      <font>
        <b/>
      </font>
    </dxf>
    <dxf>
      <font>
        <b/>
      </font>
    </dxf>
    <dxf>
      <font>
        <sz val="24"/>
      </font>
    </dxf>
    <dxf>
      <font>
        <sz val="24"/>
      </font>
    </dxf>
    <dxf>
      <numFmt numFmtId="167" formatCode="#,##0,&quot;K&quot;"/>
    </dxf>
    <dxf>
      <numFmt numFmtId="0" formatCode="General"/>
    </dxf>
    <dxf>
      <font>
        <b val="0"/>
        <i val="0"/>
        <strike val="0"/>
        <condense val="0"/>
        <extend val="0"/>
        <outline val="0"/>
        <shadow val="0"/>
        <u val="none"/>
        <vertAlign val="baseline"/>
        <sz val="9"/>
        <color rgb="FF374151"/>
        <name val="Arial"/>
        <scheme val="none"/>
      </font>
      <numFmt numFmtId="3" formatCode="#,##0"/>
      <fill>
        <patternFill patternType="solid">
          <fgColor indexed="64"/>
          <bgColor rgb="FFF3F4F6"/>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9"/>
        <color rgb="FF374151"/>
        <name val="Arial"/>
        <scheme val="none"/>
      </font>
      <numFmt numFmtId="3" formatCode="#,##0"/>
      <fill>
        <patternFill patternType="solid">
          <fgColor indexed="64"/>
          <bgColor rgb="FFFFFFFF"/>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border outline="0">
        <left style="thin">
          <color rgb="FFD1D5DB"/>
        </left>
      </border>
    </dxf>
    <dxf>
      <font>
        <b val="0"/>
        <i val="0"/>
        <strike val="0"/>
        <condense val="0"/>
        <extend val="0"/>
        <outline val="0"/>
        <shadow val="0"/>
        <u val="none"/>
        <vertAlign val="baseline"/>
        <sz val="9"/>
        <color rgb="FF374151"/>
        <name val="Arial"/>
        <family val="2"/>
        <scheme val="none"/>
      </font>
      <numFmt numFmtId="166" formatCode="0.0"/>
      <fill>
        <patternFill patternType="solid">
          <fgColor indexed="64"/>
          <bgColor rgb="FFF3F4F6"/>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9"/>
        <color rgb="FF374151"/>
        <name val="Arial"/>
        <scheme val="none"/>
      </font>
      <numFmt numFmtId="2" formatCode="0.00"/>
      <fill>
        <patternFill patternType="solid">
          <fgColor indexed="64"/>
          <bgColor rgb="FFF3F4F6"/>
        </patternFill>
      </fill>
      <alignment horizontal="center" vertical="center" textRotation="0" wrapText="0" indent="0" justifyLastLine="0" shrinkToFit="0" readingOrder="0"/>
      <border diagonalUp="0" diagonalDown="0" outline="0">
        <left style="thin">
          <color rgb="FFD1D5DB"/>
        </left>
        <right style="thin">
          <color rgb="FFD1D5DB"/>
        </right>
        <top style="thin">
          <color rgb="FFD1D5DB"/>
        </top>
        <bottom style="thin">
          <color rgb="FFD1D5DB"/>
        </bottom>
      </border>
    </dxf>
    <dxf>
      <font>
        <b val="0"/>
        <i val="0"/>
        <strike val="0"/>
        <condense val="0"/>
        <extend val="0"/>
        <outline val="0"/>
        <shadow val="0"/>
        <u val="none"/>
        <vertAlign val="baseline"/>
        <sz val="9"/>
        <color rgb="FF374151"/>
        <name val="Arial"/>
        <scheme val="none"/>
      </font>
      <numFmt numFmtId="2"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D1D5DB"/>
        </left>
        <right style="thin">
          <color rgb="FFD1D5DB"/>
        </right>
        <top style="thin">
          <color rgb="FFD1D5DB"/>
        </top>
        <bottom style="thin">
          <color rgb="FFD1D5DB"/>
        </bottom>
      </border>
    </dxf>
    <dxf>
      <border outline="0">
        <right style="thin">
          <color rgb="FFD1D5DB"/>
        </right>
      </border>
    </dxf>
    <dxf>
      <font>
        <b val="0"/>
        <i val="0"/>
        <strike val="0"/>
        <condense val="0"/>
        <extend val="0"/>
        <outline val="0"/>
        <shadow val="0"/>
        <u val="none"/>
        <vertAlign val="baseline"/>
        <sz val="9"/>
        <color rgb="FF374151"/>
        <name val="Arial"/>
        <scheme val="none"/>
      </font>
      <numFmt numFmtId="0" formatCode="General"/>
      <fill>
        <patternFill patternType="solid">
          <fgColor indexed="64"/>
          <bgColor rgb="FFFFFFFF"/>
        </patternFill>
      </fill>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9"/>
        <color rgb="FF37415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numFmt numFmtId="0" formatCode="General"/>
    </dxf>
    <dxf>
      <numFmt numFmtId="0" formatCode="General"/>
    </dxf>
    <dxf>
      <numFmt numFmtId="0" formatCode="General"/>
      <border outline="0">
        <left style="thin">
          <color rgb="FFD1D5DB"/>
        </left>
      </border>
    </dxf>
    <dxf>
      <font>
        <b val="0"/>
        <i val="0"/>
        <strike val="0"/>
        <condense val="0"/>
        <extend val="0"/>
        <outline val="0"/>
        <shadow val="0"/>
        <u val="none"/>
        <vertAlign val="baseline"/>
        <sz val="9"/>
        <color rgb="FF37415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border>
    </dxf>
    <dxf>
      <border outline="0">
        <top style="thin">
          <color rgb="FFD1D5DB"/>
        </top>
      </border>
    </dxf>
    <dxf>
      <border outline="0">
        <bottom style="thin">
          <color rgb="FFD1D5DB"/>
        </bottom>
      </border>
    </dxf>
    <dxf>
      <font>
        <b/>
        <i val="0"/>
        <strike val="0"/>
        <condense val="0"/>
        <extend val="0"/>
        <outline val="0"/>
        <shadow val="0"/>
        <u val="none"/>
        <vertAlign val="baseline"/>
        <sz val="10"/>
        <color rgb="FFFFFFFF"/>
        <name val="Arial"/>
        <scheme val="none"/>
      </font>
      <fill>
        <patternFill patternType="solid">
          <fgColor indexed="64"/>
          <bgColor rgb="FF1B2A4A"/>
        </patternFill>
      </fill>
      <alignment horizontal="center" vertical="center" textRotation="0" wrapText="0" indent="0" justifyLastLine="0" shrinkToFit="0" readingOrder="0"/>
      <border diagonalUp="0" diagonalDown="0" outline="0">
        <left style="thin">
          <color rgb="FFD1D5DB"/>
        </left>
        <right style="thin">
          <color rgb="FFD1D5DB"/>
        </right>
        <top/>
        <bottom/>
      </border>
    </dxf>
    <dxf>
      <font>
        <b/>
        <i val="0"/>
        <sz val="11"/>
        <color theme="0"/>
        <name val="Calibri"/>
        <family val="2"/>
        <scheme val="minor"/>
      </font>
      <fill>
        <patternFill>
          <bgColor rgb="FF8B1238"/>
        </patternFill>
      </fill>
    </dxf>
    <dxf>
      <font>
        <color rgb="FF292929"/>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rgb="FFFFFFFF"/>
      </font>
      <fill>
        <patternFill>
          <bgColor rgb="FF8B1238"/>
        </patternFill>
      </fill>
    </dxf>
    <dxf>
      <font>
        <sz val="10"/>
        <color rgb="FF292929"/>
      </font>
      <fill>
        <patternFill>
          <bgColor rgb="FFFFFFFF"/>
        </patternFill>
      </fill>
    </dxf>
  </dxfs>
  <tableStyles count="2" defaultTableStyle="TableStyleMedium2" defaultPivotStyle="PivotStyleLight16">
    <tableStyle name="drak red" pivot="0" table="0" count="10" xr9:uid="{23F4D0CE-4572-4BE3-9BBF-1892A26190A3}">
      <tableStyleElement type="wholeTable" dxfId="36"/>
      <tableStyleElement type="headerRow" dxfId="35"/>
    </tableStyle>
    <tableStyle name="time red" pivot="0" table="0" count="9" xr9:uid="{ECFCAEB3-6F06-4DF4-A88A-527A6D82345E}">
      <tableStyleElement type="wholeTable" dxfId="34"/>
      <tableStyleElement type="headerRow" dxfId="33"/>
    </tableStyle>
  </tableStyles>
  <colors>
    <mruColors>
      <color rgb="FFD9D9D9"/>
      <color rgb="FFF8E7EC"/>
      <color rgb="FFB21F4B"/>
      <color rgb="FF292929"/>
      <color rgb="FF8B1238"/>
      <color rgb="FFBFBFBF"/>
      <color rgb="FFE6E6E6"/>
      <color rgb="FFA6A6A6"/>
      <color rgb="FFF2B8C7"/>
      <color rgb="FF808080"/>
    </mruColors>
  </colors>
  <extLst>
    <ext xmlns:x14="http://schemas.microsoft.com/office/spreadsheetml/2009/9/main" uri="{46F421CA-312F-682f-3DD2-61675219B42D}">
      <x14:dxfs count="8">
        <dxf>
          <font>
            <color rgb="FF808080"/>
          </font>
          <fill>
            <patternFill>
              <bgColor rgb="FFE6E6E6"/>
            </patternFill>
          </fill>
        </dxf>
        <dxf>
          <font>
            <color rgb="FFA6A6A6"/>
          </font>
          <fill>
            <patternFill>
              <bgColor rgb="FFE6E6E6"/>
            </patternFill>
          </fill>
        </dxf>
        <dxf>
          <font>
            <color theme="0"/>
          </font>
          <fill>
            <patternFill>
              <bgColor rgb="FF8B1238"/>
            </patternFill>
          </fill>
        </dxf>
        <dxf>
          <font>
            <b/>
            <i val="0"/>
            <color rgb="FF292929"/>
          </font>
          <fill>
            <patternFill>
              <bgColor rgb="FFF2B8C7"/>
            </patternFill>
          </fill>
        </dxf>
        <dxf>
          <font>
            <color rgb="FF292929"/>
          </font>
          <fill>
            <patternFill>
              <bgColor rgb="FFF2F2F2"/>
            </patternFill>
          </fill>
        </dxf>
        <dxf>
          <font>
            <b/>
            <i val="0"/>
            <color theme="0"/>
          </font>
          <fill>
            <patternFill>
              <bgColor rgb="FFB21F4B"/>
            </patternFill>
          </fill>
        </dxf>
        <dxf>
          <font>
            <color rgb="FFA6A6A6"/>
          </font>
          <fill>
            <patternFill>
              <bgColor rgb="FFF2F2F2"/>
            </patternFill>
          </fill>
        </dxf>
        <dxf>
          <font>
            <sz val="10"/>
            <color rgb="FF292929"/>
          </font>
          <fill>
            <patternFill>
              <bgColor rgb="FFF8E7EC"/>
            </patternFill>
          </fill>
        </dxf>
      </x14:dxfs>
    </ext>
    <ext xmlns:x14="http://schemas.microsoft.com/office/spreadsheetml/2009/9/main" uri="{EB79DEF2-80B8-43e5-95BD-54CBDDF9020C}">
      <x14:slicerStyles defaultSlicerStyle="SlicerStyleLight1">
        <x14:slicerStyle name="drak r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rgb="FFF8E7EC"/>
            </patternFill>
          </fill>
        </dxf>
        <dxf>
          <fill>
            <patternFill patternType="solid">
              <fgColor theme="0"/>
              <bgColor rgb="FFB21F4B"/>
            </patternFill>
          </fill>
        </dxf>
        <dxf>
          <font>
            <sz val="9"/>
            <color rgb="FF292929"/>
            <name val="Calibri"/>
            <family val="2"/>
            <scheme val="minor"/>
          </font>
        </dxf>
        <dxf>
          <font>
            <sz val="9"/>
            <color rgb="FF292929"/>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 red">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c:name>
    <c:fmtId val="4"/>
  </c:pivotSource>
  <c:chart>
    <c:title>
      <c:tx>
        <c:rich>
          <a:bodyPr rot="0" spcFirstLastPara="1" vertOverflow="ellipsis" vert="horz" wrap="square" anchor="ctr" anchorCtr="1"/>
          <a:lstStyle/>
          <a:p>
            <a:pPr>
              <a:defRPr sz="1400" b="0" i="0" u="none" strike="noStrike" kern="1200" spc="0" baseline="0">
                <a:solidFill>
                  <a:srgbClr val="292929"/>
                </a:solidFill>
                <a:latin typeface="+mn-lt"/>
                <a:ea typeface="+mn-ea"/>
                <a:cs typeface="+mn-cs"/>
              </a:defRPr>
            </a:pPr>
            <a:r>
              <a:rPr lang="en-US" sz="1800" b="1">
                <a:solidFill>
                  <a:srgbClr val="8B1235"/>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9292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B21F4B"/>
            </a:solidFill>
            <a:round/>
          </a:ln>
          <a:effectLst/>
        </c:spPr>
        <c:marker>
          <c:symbol val="circle"/>
          <c:size val="5"/>
          <c:spPr>
            <a:solidFill>
              <a:srgbClr val="D94F70"/>
            </a:solidFill>
            <a:ln w="9525">
              <a:solidFill>
                <a:srgbClr val="D9D9D9"/>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kpi!$B$9</c:f>
              <c:strCache>
                <c:ptCount val="1"/>
                <c:pt idx="0">
                  <c:v>Total</c:v>
                </c:pt>
              </c:strCache>
            </c:strRef>
          </c:tx>
          <c:spPr>
            <a:ln w="28575" cap="rnd">
              <a:solidFill>
                <a:srgbClr val="B21F4B"/>
              </a:solidFill>
              <a:round/>
            </a:ln>
            <a:effectLst/>
          </c:spPr>
          <c:marker>
            <c:symbol val="circle"/>
            <c:size val="5"/>
            <c:spPr>
              <a:solidFill>
                <a:srgbClr val="D94F70"/>
              </a:solidFill>
              <a:ln w="9525">
                <a:solidFill>
                  <a:srgbClr val="D9D9D9"/>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kpi!$A$10:$A$16</c:f>
              <c:strCache>
                <c:ptCount val="6"/>
                <c:pt idx="0">
                  <c:v>Jan</c:v>
                </c:pt>
                <c:pt idx="1">
                  <c:v>Feb</c:v>
                </c:pt>
                <c:pt idx="2">
                  <c:v>Mar</c:v>
                </c:pt>
                <c:pt idx="3">
                  <c:v>Apr</c:v>
                </c:pt>
                <c:pt idx="4">
                  <c:v>May</c:v>
                </c:pt>
                <c:pt idx="5">
                  <c:v>Jun</c:v>
                </c:pt>
              </c:strCache>
            </c:strRef>
          </c:cat>
          <c:val>
            <c:numRef>
              <c:f>kpi!$B$10:$B$16</c:f>
              <c:numCache>
                <c:formatCode>#,##0,"K"</c:formatCode>
                <c:ptCount val="6"/>
                <c:pt idx="0">
                  <c:v>8579224.2229999993</c:v>
                </c:pt>
                <c:pt idx="1">
                  <c:v>6085087.3869999992</c:v>
                </c:pt>
                <c:pt idx="2">
                  <c:v>5598670.924999998</c:v>
                </c:pt>
                <c:pt idx="3">
                  <c:v>7488517.8264000006</c:v>
                </c:pt>
                <c:pt idx="4">
                  <c:v>4551333.6140000001</c:v>
                </c:pt>
                <c:pt idx="5">
                  <c:v>6447557.3774000015</c:v>
                </c:pt>
              </c:numCache>
            </c:numRef>
          </c:val>
          <c:smooth val="0"/>
          <c:extLst>
            <c:ext xmlns:c16="http://schemas.microsoft.com/office/drawing/2014/chart" uri="{C3380CC4-5D6E-409C-BE32-E72D297353CC}">
              <c16:uniqueId val="{00000000-E2D2-4EA5-8B5E-6542AC968D90}"/>
            </c:ext>
          </c:extLst>
        </c:ser>
        <c:dLbls>
          <c:dLblPos val="ctr"/>
          <c:showLegendKey val="0"/>
          <c:showVal val="1"/>
          <c:showCatName val="0"/>
          <c:showSerName val="0"/>
          <c:showPercent val="0"/>
          <c:showBubbleSize val="0"/>
        </c:dLbls>
        <c:marker val="1"/>
        <c:smooth val="0"/>
        <c:axId val="726777024"/>
        <c:axId val="726780624"/>
      </c:lineChart>
      <c:catAx>
        <c:axId val="7267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726780624"/>
        <c:crosses val="autoZero"/>
        <c:auto val="1"/>
        <c:lblAlgn val="ctr"/>
        <c:lblOffset val="100"/>
        <c:noMultiLvlLbl val="0"/>
      </c:catAx>
      <c:valAx>
        <c:axId val="72678062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72677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AF1"/>
    </a:solidFill>
    <a:ln w="12700" cap="flat" cmpd="sng" algn="ctr">
      <a:solidFill>
        <a:srgbClr val="D9D9D9"/>
      </a:solidFill>
      <a:round/>
    </a:ln>
    <a:effectLst/>
  </c:spPr>
  <c:txPr>
    <a:bodyPr/>
    <a:lstStyle/>
    <a:p>
      <a:pPr>
        <a:defRPr>
          <a:solidFill>
            <a:srgbClr val="29292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8B1235"/>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B21F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1344674953474"/>
          <c:y val="0.13890701658209645"/>
          <c:w val="0.76008487435515582"/>
          <c:h val="0.77421236442688979"/>
        </c:manualLayout>
      </c:layout>
      <c:barChart>
        <c:barDir val="bar"/>
        <c:grouping val="clustered"/>
        <c:varyColors val="0"/>
        <c:ser>
          <c:idx val="0"/>
          <c:order val="0"/>
          <c:tx>
            <c:strRef>
              <c:f>kpi!$B$25</c:f>
              <c:strCache>
                <c:ptCount val="1"/>
                <c:pt idx="0">
                  <c:v>Total</c:v>
                </c:pt>
              </c:strCache>
            </c:strRef>
          </c:tx>
          <c:spPr>
            <a:solidFill>
              <a:srgbClr val="B21F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kpi!$A$26:$A$31</c:f>
              <c:strCache>
                <c:ptCount val="5"/>
                <c:pt idx="0">
                  <c:v>Electronics</c:v>
                </c:pt>
                <c:pt idx="1">
                  <c:v>Home</c:v>
                </c:pt>
                <c:pt idx="2">
                  <c:v>Jewellery</c:v>
                </c:pt>
                <c:pt idx="3">
                  <c:v>Fashion</c:v>
                </c:pt>
                <c:pt idx="4">
                  <c:v>Grocery</c:v>
                </c:pt>
              </c:strCache>
            </c:strRef>
          </c:cat>
          <c:val>
            <c:numRef>
              <c:f>kpi!$B$26:$B$31</c:f>
              <c:numCache>
                <c:formatCode>#,##0,"K"</c:formatCode>
                <c:ptCount val="5"/>
                <c:pt idx="0">
                  <c:v>23085755.999999996</c:v>
                </c:pt>
                <c:pt idx="1">
                  <c:v>10230988.172799999</c:v>
                </c:pt>
                <c:pt idx="2">
                  <c:v>2878850</c:v>
                </c:pt>
                <c:pt idx="3">
                  <c:v>2475367.4099999997</c:v>
                </c:pt>
                <c:pt idx="4">
                  <c:v>79429.77</c:v>
                </c:pt>
              </c:numCache>
            </c:numRef>
          </c:val>
          <c:extLst>
            <c:ext xmlns:c16="http://schemas.microsoft.com/office/drawing/2014/chart" uri="{C3380CC4-5D6E-409C-BE32-E72D297353CC}">
              <c16:uniqueId val="{00000000-1433-4A8F-818A-D52AE6229CE3}"/>
            </c:ext>
          </c:extLst>
        </c:ser>
        <c:dLbls>
          <c:dLblPos val="inEnd"/>
          <c:showLegendKey val="0"/>
          <c:showVal val="1"/>
          <c:showCatName val="0"/>
          <c:showSerName val="0"/>
          <c:showPercent val="0"/>
          <c:showBubbleSize val="0"/>
        </c:dLbls>
        <c:gapWidth val="182"/>
        <c:axId val="726778824"/>
        <c:axId val="726780264"/>
      </c:barChart>
      <c:catAx>
        <c:axId val="726778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726780264"/>
        <c:crosses val="autoZero"/>
        <c:auto val="1"/>
        <c:lblAlgn val="ctr"/>
        <c:lblOffset val="100"/>
        <c:noMultiLvlLbl val="0"/>
      </c:catAx>
      <c:valAx>
        <c:axId val="726780264"/>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7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AF1"/>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8B1235"/>
                </a:solidFill>
              </a:rPr>
              <a:t>Sales by Region</a:t>
            </a:r>
            <a:endParaRPr lang="en-US" sz="1800" b="1">
              <a:solidFill>
                <a:srgbClr val="8B12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B21F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7819111663068"/>
          <c:y val="0.22866202083588302"/>
          <c:w val="0.80557845951848139"/>
          <c:h val="0.65096244361527789"/>
        </c:manualLayout>
      </c:layout>
      <c:barChart>
        <c:barDir val="col"/>
        <c:grouping val="clustered"/>
        <c:varyColors val="0"/>
        <c:ser>
          <c:idx val="0"/>
          <c:order val="0"/>
          <c:tx>
            <c:strRef>
              <c:f>kpi!$B$42</c:f>
              <c:strCache>
                <c:ptCount val="1"/>
                <c:pt idx="0">
                  <c:v>Total</c:v>
                </c:pt>
              </c:strCache>
            </c:strRef>
          </c:tx>
          <c:spPr>
            <a:solidFill>
              <a:srgbClr val="B21F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kpi!$A$43:$A$48</c:f>
              <c:strCache>
                <c:ptCount val="5"/>
                <c:pt idx="0">
                  <c:v>South</c:v>
                </c:pt>
                <c:pt idx="1">
                  <c:v>West</c:v>
                </c:pt>
                <c:pt idx="2">
                  <c:v>North</c:v>
                </c:pt>
                <c:pt idx="3">
                  <c:v>East</c:v>
                </c:pt>
                <c:pt idx="4">
                  <c:v>Central</c:v>
                </c:pt>
              </c:strCache>
            </c:strRef>
          </c:cat>
          <c:val>
            <c:numRef>
              <c:f>kpi!$B$43:$B$48</c:f>
              <c:numCache>
                <c:formatCode>#,##0,"K"</c:formatCode>
                <c:ptCount val="5"/>
                <c:pt idx="0">
                  <c:v>15099189.594999997</c:v>
                </c:pt>
                <c:pt idx="1">
                  <c:v>10303874.183999998</c:v>
                </c:pt>
                <c:pt idx="2">
                  <c:v>8719174.5657999981</c:v>
                </c:pt>
                <c:pt idx="3">
                  <c:v>4532089.0080000004</c:v>
                </c:pt>
                <c:pt idx="4">
                  <c:v>96064</c:v>
                </c:pt>
              </c:numCache>
            </c:numRef>
          </c:val>
          <c:extLst>
            <c:ext xmlns:c16="http://schemas.microsoft.com/office/drawing/2014/chart" uri="{C3380CC4-5D6E-409C-BE32-E72D297353CC}">
              <c16:uniqueId val="{00000000-1602-4198-8691-A8F8F556CC7B}"/>
            </c:ext>
          </c:extLst>
        </c:ser>
        <c:dLbls>
          <c:dLblPos val="outEnd"/>
          <c:showLegendKey val="0"/>
          <c:showVal val="1"/>
          <c:showCatName val="0"/>
          <c:showSerName val="0"/>
          <c:showPercent val="0"/>
          <c:showBubbleSize val="0"/>
        </c:dLbls>
        <c:gapWidth val="219"/>
        <c:overlap val="-27"/>
        <c:axId val="731424072"/>
        <c:axId val="731422632"/>
      </c:barChart>
      <c:catAx>
        <c:axId val="73142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22632"/>
        <c:crosses val="autoZero"/>
        <c:auto val="1"/>
        <c:lblAlgn val="ctr"/>
        <c:lblOffset val="100"/>
        <c:noMultiLvlLbl val="0"/>
      </c:catAx>
      <c:valAx>
        <c:axId val="73142263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731424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AF1"/>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800">
                <a:solidFill>
                  <a:srgbClr val="8B1235"/>
                </a:solidFill>
              </a:rPr>
              <a:t>order</a:t>
            </a:r>
            <a:r>
              <a:rPr lang="en-IN" sz="1800" baseline="0">
                <a:solidFill>
                  <a:srgbClr val="8B1235"/>
                </a:solidFill>
              </a:rPr>
              <a:t> status</a:t>
            </a:r>
            <a:endParaRPr lang="en-IN" sz="1800">
              <a:solidFill>
                <a:srgbClr val="8B1235"/>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kpi!$B$58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AF-4433-81DD-B668D8D8DB8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AF-4433-81DD-B668D8D8DB8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AF-4433-81DD-B668D8D8DB8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AF-4433-81DD-B668D8D8DB8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5AF-4433-81DD-B668D8D8DB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kpi!$A$59:$A$64</c:f>
              <c:strCache>
                <c:ptCount val="5"/>
                <c:pt idx="0">
                  <c:v>Delivered</c:v>
                </c:pt>
                <c:pt idx="1">
                  <c:v>Returned</c:v>
                </c:pt>
                <c:pt idx="2">
                  <c:v>Shipped</c:v>
                </c:pt>
                <c:pt idx="3">
                  <c:v>Cancelled</c:v>
                </c:pt>
                <c:pt idx="4">
                  <c:v>Pending</c:v>
                </c:pt>
              </c:strCache>
            </c:strRef>
          </c:cat>
          <c:val>
            <c:numRef>
              <c:f>kpi!$B$59:$B$64</c:f>
              <c:numCache>
                <c:formatCode>General</c:formatCode>
                <c:ptCount val="5"/>
                <c:pt idx="0">
                  <c:v>175</c:v>
                </c:pt>
                <c:pt idx="1">
                  <c:v>88</c:v>
                </c:pt>
                <c:pt idx="2">
                  <c:v>87</c:v>
                </c:pt>
                <c:pt idx="3">
                  <c:v>86</c:v>
                </c:pt>
                <c:pt idx="4">
                  <c:v>44</c:v>
                </c:pt>
              </c:numCache>
            </c:numRef>
          </c:val>
          <c:extLst>
            <c:ext xmlns:c16="http://schemas.microsoft.com/office/drawing/2014/chart" uri="{C3380CC4-5D6E-409C-BE32-E72D297353CC}">
              <c16:uniqueId val="{0000000A-B5AF-4433-81DD-B668D8D8DB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AF1"/>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[e-commerce.xlsx]kpi!PivotTable5</c:name>
    <c:fmtId val="5"/>
  </c:pivotSource>
  <c:chart>
    <c:title>
      <c:tx>
        <c:rich>
          <a:bodyPr rot="0" spcFirstLastPara="1" vertOverflow="ellipsis" vert="horz" wrap="square" anchor="ctr" anchorCtr="1"/>
          <a:lstStyle/>
          <a:p>
            <a:pPr>
              <a:defRPr sz="1800" b="1" i="0" u="none" strike="noStrike" kern="1200" spc="0" baseline="0">
                <a:solidFill>
                  <a:srgbClr val="8B1238"/>
                </a:solidFill>
                <a:latin typeface="+mn-lt"/>
                <a:ea typeface="+mn-ea"/>
                <a:cs typeface="+mn-cs"/>
              </a:defRPr>
            </a:pPr>
            <a:r>
              <a:rPr lang="en-IN" sz="1800" b="1">
                <a:solidFill>
                  <a:srgbClr val="8B1238"/>
                </a:solidFill>
              </a:rPr>
              <a:t>Top 10 Products</a:t>
            </a:r>
            <a:endParaRPr lang="en-US" sz="1800" b="1">
              <a:solidFill>
                <a:srgbClr val="8B1238"/>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8B123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21F4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kpi!$B$71</c:f>
              <c:strCache>
                <c:ptCount val="1"/>
                <c:pt idx="0">
                  <c:v>Total</c:v>
                </c:pt>
              </c:strCache>
            </c:strRef>
          </c:tx>
          <c:spPr>
            <a:solidFill>
              <a:srgbClr val="B21F4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kpi!$A$72:$A$82</c:f>
              <c:strCache>
                <c:ptCount val="10"/>
                <c:pt idx="0">
                  <c:v>HP Pavilion Laptop</c:v>
                </c:pt>
                <c:pt idx="1">
                  <c:v>iPhone 14 Pro</c:v>
                </c:pt>
                <c:pt idx="2">
                  <c:v>LG Double Door Refrigerator</c:v>
                </c:pt>
                <c:pt idx="3">
                  <c:v>OnePlus Nord CE 3</c:v>
                </c:pt>
                <c:pt idx="4">
                  <c:v>Samsung Galaxy M14</c:v>
                </c:pt>
                <c:pt idx="5">
                  <c:v>Samsung TV 43"</c:v>
                </c:pt>
                <c:pt idx="6">
                  <c:v>Tanishq Gold Ring</c:v>
                </c:pt>
                <c:pt idx="7">
                  <c:v>Titan Raga Watch</c:v>
                </c:pt>
                <c:pt idx="8">
                  <c:v>Voltas 1.5T Desert Cooler</c:v>
                </c:pt>
                <c:pt idx="9">
                  <c:v>Whirlpool 1.5T AC</c:v>
                </c:pt>
              </c:strCache>
            </c:strRef>
          </c:cat>
          <c:val>
            <c:numRef>
              <c:f>kpi!$B$72:$B$82</c:f>
              <c:numCache>
                <c:formatCode>#,##0,"K"</c:formatCode>
                <c:ptCount val="10"/>
                <c:pt idx="0">
                  <c:v>7245436</c:v>
                </c:pt>
                <c:pt idx="1">
                  <c:v>5462090.1999999993</c:v>
                </c:pt>
                <c:pt idx="2">
                  <c:v>6237126</c:v>
                </c:pt>
                <c:pt idx="3">
                  <c:v>4135947.1999999997</c:v>
                </c:pt>
                <c:pt idx="4">
                  <c:v>1048854.7999999998</c:v>
                </c:pt>
                <c:pt idx="5">
                  <c:v>4345586</c:v>
                </c:pt>
                <c:pt idx="6">
                  <c:v>2878850</c:v>
                </c:pt>
                <c:pt idx="7">
                  <c:v>684848.4</c:v>
                </c:pt>
                <c:pt idx="8">
                  <c:v>1235884.8</c:v>
                </c:pt>
                <c:pt idx="9">
                  <c:v>2724030</c:v>
                </c:pt>
              </c:numCache>
            </c:numRef>
          </c:val>
          <c:extLst>
            <c:ext xmlns:c16="http://schemas.microsoft.com/office/drawing/2014/chart" uri="{C3380CC4-5D6E-409C-BE32-E72D297353CC}">
              <c16:uniqueId val="{00000000-3007-48F8-A7A2-B8749FE88C6A}"/>
            </c:ext>
          </c:extLst>
        </c:ser>
        <c:dLbls>
          <c:dLblPos val="inEnd"/>
          <c:showLegendKey val="0"/>
          <c:showVal val="1"/>
          <c:showCatName val="0"/>
          <c:showSerName val="0"/>
          <c:showPercent val="0"/>
          <c:showBubbleSize val="0"/>
        </c:dLbls>
        <c:gapWidth val="182"/>
        <c:axId val="660872184"/>
        <c:axId val="660871464"/>
      </c:barChart>
      <c:catAx>
        <c:axId val="660872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660871464"/>
        <c:crosses val="autoZero"/>
        <c:auto val="1"/>
        <c:lblAlgn val="ctr"/>
        <c:lblOffset val="100"/>
        <c:noMultiLvlLbl val="0"/>
      </c:catAx>
      <c:valAx>
        <c:axId val="660871464"/>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92929"/>
                </a:solidFill>
                <a:latin typeface="+mn-lt"/>
                <a:ea typeface="+mn-ea"/>
                <a:cs typeface="+mn-cs"/>
              </a:defRPr>
            </a:pPr>
            <a:endParaRPr lang="en-US"/>
          </a:p>
        </c:txPr>
        <c:crossAx val="660872184"/>
        <c:crosses val="autoZero"/>
        <c:crossBetween val="between"/>
      </c:valAx>
      <c:spPr>
        <a:noFill/>
        <a:ln>
          <a:solidFill>
            <a:srgbClr val="D9D9D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AF1"/>
    </a:solidFill>
    <a:ln w="12700" cap="flat" cmpd="sng" algn="ctr">
      <a:solidFill>
        <a:schemeClr val="tx1">
          <a:lumMod val="15000"/>
          <a:lumOff val="85000"/>
        </a:schemeClr>
      </a:solidFill>
      <a:round/>
    </a:ln>
    <a:effectLst/>
  </c:spPr>
  <c:txPr>
    <a:bodyPr/>
    <a:lstStyle/>
    <a:p>
      <a:pPr>
        <a:defRPr>
          <a:solidFill>
            <a:srgbClr val="29292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kpi!$A$10:$A$16</c:f>
              <c:strCache>
                <c:ptCount val="6"/>
                <c:pt idx="0">
                  <c:v>Jan</c:v>
                </c:pt>
                <c:pt idx="1">
                  <c:v>Feb</c:v>
                </c:pt>
                <c:pt idx="2">
                  <c:v>Mar</c:v>
                </c:pt>
                <c:pt idx="3">
                  <c:v>Apr</c:v>
                </c:pt>
                <c:pt idx="4">
                  <c:v>May</c:v>
                </c:pt>
                <c:pt idx="5">
                  <c:v>Jun</c:v>
                </c:pt>
              </c:strCache>
            </c:strRef>
          </c:cat>
          <c:val>
            <c:numRef>
              <c:f>kpi!$B$10:$B$16</c:f>
              <c:numCache>
                <c:formatCode>#,##0,"K"</c:formatCode>
                <c:ptCount val="6"/>
                <c:pt idx="0">
                  <c:v>8579224.2229999993</c:v>
                </c:pt>
                <c:pt idx="1">
                  <c:v>6085087.3869999992</c:v>
                </c:pt>
                <c:pt idx="2">
                  <c:v>5598670.924999998</c:v>
                </c:pt>
                <c:pt idx="3">
                  <c:v>7488517.8264000006</c:v>
                </c:pt>
                <c:pt idx="4">
                  <c:v>4551333.6140000001</c:v>
                </c:pt>
                <c:pt idx="5">
                  <c:v>6447557.3774000015</c:v>
                </c:pt>
              </c:numCache>
            </c:numRef>
          </c:val>
          <c:smooth val="0"/>
          <c:extLst>
            <c:ext xmlns:c16="http://schemas.microsoft.com/office/drawing/2014/chart" uri="{C3380CC4-5D6E-409C-BE32-E72D297353CC}">
              <c16:uniqueId val="{00000000-F8C1-4466-9958-DFDBC220D93D}"/>
            </c:ext>
          </c:extLst>
        </c:ser>
        <c:dLbls>
          <c:dLblPos val="ctr"/>
          <c:showLegendKey val="0"/>
          <c:showVal val="1"/>
          <c:showCatName val="0"/>
          <c:showSerName val="0"/>
          <c:showPercent val="0"/>
          <c:showBubbleSize val="0"/>
        </c:dLbls>
        <c:marker val="1"/>
        <c:smooth val="0"/>
        <c:axId val="726777024"/>
        <c:axId val="726780624"/>
      </c:lineChart>
      <c:catAx>
        <c:axId val="7267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80624"/>
        <c:crosses val="autoZero"/>
        <c:auto val="1"/>
        <c:lblAlgn val="ctr"/>
        <c:lblOffset val="100"/>
        <c:noMultiLvlLbl val="0"/>
      </c:catAx>
      <c:valAx>
        <c:axId val="72678062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7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kpi!$A$26:$A$31</c:f>
              <c:strCache>
                <c:ptCount val="5"/>
                <c:pt idx="0">
                  <c:v>Electronics</c:v>
                </c:pt>
                <c:pt idx="1">
                  <c:v>Home</c:v>
                </c:pt>
                <c:pt idx="2">
                  <c:v>Jewellery</c:v>
                </c:pt>
                <c:pt idx="3">
                  <c:v>Fashion</c:v>
                </c:pt>
                <c:pt idx="4">
                  <c:v>Grocery</c:v>
                </c:pt>
              </c:strCache>
            </c:strRef>
          </c:cat>
          <c:val>
            <c:numRef>
              <c:f>kpi!$B$26:$B$31</c:f>
              <c:numCache>
                <c:formatCode>#,##0,"K"</c:formatCode>
                <c:ptCount val="5"/>
                <c:pt idx="0">
                  <c:v>23085755.999999996</c:v>
                </c:pt>
                <c:pt idx="1">
                  <c:v>10230988.172799999</c:v>
                </c:pt>
                <c:pt idx="2">
                  <c:v>2878850</c:v>
                </c:pt>
                <c:pt idx="3">
                  <c:v>2475367.4099999997</c:v>
                </c:pt>
                <c:pt idx="4">
                  <c:v>79429.77</c:v>
                </c:pt>
              </c:numCache>
            </c:numRef>
          </c:val>
          <c:extLst>
            <c:ext xmlns:c16="http://schemas.microsoft.com/office/drawing/2014/chart" uri="{C3380CC4-5D6E-409C-BE32-E72D297353CC}">
              <c16:uniqueId val="{00000000-90AE-4231-8275-7EE3FDBB1098}"/>
            </c:ext>
          </c:extLst>
        </c:ser>
        <c:dLbls>
          <c:dLblPos val="inEnd"/>
          <c:showLegendKey val="0"/>
          <c:showVal val="1"/>
          <c:showCatName val="0"/>
          <c:showSerName val="0"/>
          <c:showPercent val="0"/>
          <c:showBubbleSize val="0"/>
        </c:dLbls>
        <c:gapWidth val="182"/>
        <c:axId val="726778824"/>
        <c:axId val="726780264"/>
      </c:barChart>
      <c:catAx>
        <c:axId val="726778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80264"/>
        <c:crosses val="autoZero"/>
        <c:auto val="1"/>
        <c:lblAlgn val="ctr"/>
        <c:lblOffset val="100"/>
        <c:noMultiLvlLbl val="0"/>
      </c:catAx>
      <c:valAx>
        <c:axId val="726780264"/>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7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kpi!$A$43:$A$48</c:f>
              <c:strCache>
                <c:ptCount val="5"/>
                <c:pt idx="0">
                  <c:v>South</c:v>
                </c:pt>
                <c:pt idx="1">
                  <c:v>West</c:v>
                </c:pt>
                <c:pt idx="2">
                  <c:v>North</c:v>
                </c:pt>
                <c:pt idx="3">
                  <c:v>East</c:v>
                </c:pt>
                <c:pt idx="4">
                  <c:v>Central</c:v>
                </c:pt>
              </c:strCache>
            </c:strRef>
          </c:cat>
          <c:val>
            <c:numRef>
              <c:f>kpi!$B$43:$B$48</c:f>
              <c:numCache>
                <c:formatCode>#,##0,"K"</c:formatCode>
                <c:ptCount val="5"/>
                <c:pt idx="0">
                  <c:v>15099189.594999997</c:v>
                </c:pt>
                <c:pt idx="1">
                  <c:v>10303874.183999998</c:v>
                </c:pt>
                <c:pt idx="2">
                  <c:v>8719174.5657999981</c:v>
                </c:pt>
                <c:pt idx="3">
                  <c:v>4532089.0080000004</c:v>
                </c:pt>
                <c:pt idx="4">
                  <c:v>96064</c:v>
                </c:pt>
              </c:numCache>
            </c:numRef>
          </c:val>
          <c:extLst>
            <c:ext xmlns:c16="http://schemas.microsoft.com/office/drawing/2014/chart" uri="{C3380CC4-5D6E-409C-BE32-E72D297353CC}">
              <c16:uniqueId val="{00000000-D7FC-4911-9961-9953A5B18101}"/>
            </c:ext>
          </c:extLst>
        </c:ser>
        <c:dLbls>
          <c:dLblPos val="outEnd"/>
          <c:showLegendKey val="0"/>
          <c:showVal val="1"/>
          <c:showCatName val="0"/>
          <c:showSerName val="0"/>
          <c:showPercent val="0"/>
          <c:showBubbleSize val="0"/>
        </c:dLbls>
        <c:gapWidth val="219"/>
        <c:overlap val="-27"/>
        <c:axId val="731424072"/>
        <c:axId val="731422632"/>
      </c:barChart>
      <c:catAx>
        <c:axId val="73142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22632"/>
        <c:crosses val="autoZero"/>
        <c:auto val="1"/>
        <c:lblAlgn val="ctr"/>
        <c:lblOffset val="100"/>
        <c:noMultiLvlLbl val="0"/>
      </c:catAx>
      <c:valAx>
        <c:axId val="73142263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24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Order Status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kpi!$B$58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D3-41C3-A681-4D237EE5C0D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D3-41C3-A681-4D237EE5C0D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3D3-41C3-A681-4D237EE5C0D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3D3-41C3-A681-4D237EE5C0D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3D3-41C3-A681-4D237EE5C0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kpi!$A$59:$A$64</c:f>
              <c:strCache>
                <c:ptCount val="5"/>
                <c:pt idx="0">
                  <c:v>Delivered</c:v>
                </c:pt>
                <c:pt idx="1">
                  <c:v>Returned</c:v>
                </c:pt>
                <c:pt idx="2">
                  <c:v>Shipped</c:v>
                </c:pt>
                <c:pt idx="3">
                  <c:v>Cancelled</c:v>
                </c:pt>
                <c:pt idx="4">
                  <c:v>Pending</c:v>
                </c:pt>
              </c:strCache>
            </c:strRef>
          </c:cat>
          <c:val>
            <c:numRef>
              <c:f>kpi!$B$59:$B$64</c:f>
              <c:numCache>
                <c:formatCode>General</c:formatCode>
                <c:ptCount val="5"/>
                <c:pt idx="0">
                  <c:v>175</c:v>
                </c:pt>
                <c:pt idx="1">
                  <c:v>88</c:v>
                </c:pt>
                <c:pt idx="2">
                  <c:v>87</c:v>
                </c:pt>
                <c:pt idx="3">
                  <c:v>86</c:v>
                </c:pt>
                <c:pt idx="4">
                  <c:v>44</c:v>
                </c:pt>
              </c:numCache>
            </c:numRef>
          </c:val>
          <c:extLst>
            <c:ext xmlns:c16="http://schemas.microsoft.com/office/drawing/2014/chart" uri="{C3380CC4-5D6E-409C-BE32-E72D297353CC}">
              <c16:uniqueId val="{00000000-AD7F-461E-BD97-32C6AEFF5DD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kpi!$A$72:$A$82</c:f>
              <c:strCache>
                <c:ptCount val="10"/>
                <c:pt idx="0">
                  <c:v>HP Pavilion Laptop</c:v>
                </c:pt>
                <c:pt idx="1">
                  <c:v>iPhone 14 Pro</c:v>
                </c:pt>
                <c:pt idx="2">
                  <c:v>LG Double Door Refrigerator</c:v>
                </c:pt>
                <c:pt idx="3">
                  <c:v>OnePlus Nord CE 3</c:v>
                </c:pt>
                <c:pt idx="4">
                  <c:v>Samsung Galaxy M14</c:v>
                </c:pt>
                <c:pt idx="5">
                  <c:v>Samsung TV 43"</c:v>
                </c:pt>
                <c:pt idx="6">
                  <c:v>Tanishq Gold Ring</c:v>
                </c:pt>
                <c:pt idx="7">
                  <c:v>Titan Raga Watch</c:v>
                </c:pt>
                <c:pt idx="8">
                  <c:v>Voltas 1.5T Desert Cooler</c:v>
                </c:pt>
                <c:pt idx="9">
                  <c:v>Whirlpool 1.5T AC</c:v>
                </c:pt>
              </c:strCache>
            </c:strRef>
          </c:cat>
          <c:val>
            <c:numRef>
              <c:f>kpi!$B$72:$B$82</c:f>
              <c:numCache>
                <c:formatCode>#,##0,"K"</c:formatCode>
                <c:ptCount val="10"/>
                <c:pt idx="0">
                  <c:v>7245436</c:v>
                </c:pt>
                <c:pt idx="1">
                  <c:v>5462090.1999999993</c:v>
                </c:pt>
                <c:pt idx="2">
                  <c:v>6237126</c:v>
                </c:pt>
                <c:pt idx="3">
                  <c:v>4135947.1999999997</c:v>
                </c:pt>
                <c:pt idx="4">
                  <c:v>1048854.7999999998</c:v>
                </c:pt>
                <c:pt idx="5">
                  <c:v>4345586</c:v>
                </c:pt>
                <c:pt idx="6">
                  <c:v>2878850</c:v>
                </c:pt>
                <c:pt idx="7">
                  <c:v>684848.4</c:v>
                </c:pt>
                <c:pt idx="8">
                  <c:v>1235884.8</c:v>
                </c:pt>
                <c:pt idx="9">
                  <c:v>2724030</c:v>
                </c:pt>
              </c:numCache>
            </c:numRef>
          </c:val>
          <c:extLst>
            <c:ext xmlns:c16="http://schemas.microsoft.com/office/drawing/2014/chart" uri="{C3380CC4-5D6E-409C-BE32-E72D297353CC}">
              <c16:uniqueId val="{00000000-CA60-4AF8-A137-3A80D282E0A0}"/>
            </c:ext>
          </c:extLst>
        </c:ser>
        <c:dLbls>
          <c:dLblPos val="inEnd"/>
          <c:showLegendKey val="0"/>
          <c:showVal val="1"/>
          <c:showCatName val="0"/>
          <c:showSerName val="0"/>
          <c:showPercent val="0"/>
          <c:showBubbleSize val="0"/>
        </c:dLbls>
        <c:gapWidth val="182"/>
        <c:axId val="660872184"/>
        <c:axId val="660871464"/>
      </c:barChart>
      <c:catAx>
        <c:axId val="660872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71464"/>
        <c:crosses val="autoZero"/>
        <c:auto val="1"/>
        <c:lblAlgn val="ctr"/>
        <c:lblOffset val="100"/>
        <c:noMultiLvlLbl val="0"/>
      </c:catAx>
      <c:valAx>
        <c:axId val="660871464"/>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7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349250</xdr:colOff>
      <xdr:row>0</xdr:row>
      <xdr:rowOff>110118</xdr:rowOff>
    </xdr:from>
    <xdr:to>
      <xdr:col>31</xdr:col>
      <xdr:colOff>508000</xdr:colOff>
      <xdr:row>59</xdr:row>
      <xdr:rowOff>15874</xdr:rowOff>
    </xdr:to>
    <xdr:sp macro="" textlink="">
      <xdr:nvSpPr>
        <xdr:cNvPr id="2" name="Rectangle 1">
          <a:extLst>
            <a:ext uri="{FF2B5EF4-FFF2-40B4-BE49-F238E27FC236}">
              <a16:creationId xmlns:a16="http://schemas.microsoft.com/office/drawing/2014/main" id="{ACB6B6C2-2656-A007-CD69-752204428B0F}"/>
            </a:ext>
          </a:extLst>
        </xdr:cNvPr>
        <xdr:cNvSpPr/>
      </xdr:nvSpPr>
      <xdr:spPr>
        <a:xfrm>
          <a:off x="349250" y="110118"/>
          <a:ext cx="18859500" cy="11145256"/>
        </a:xfrm>
        <a:prstGeom prst="rect">
          <a:avLst/>
        </a:prstGeom>
        <a:solidFill>
          <a:srgbClr val="FFF5F7"/>
        </a:solidFill>
        <a:ln w="28575">
          <a:solidFill>
            <a:srgbClr val="8B123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14925</xdr:colOff>
      <xdr:row>5</xdr:row>
      <xdr:rowOff>144709</xdr:rowOff>
    </xdr:from>
    <xdr:to>
      <xdr:col>5</xdr:col>
      <xdr:colOff>267289</xdr:colOff>
      <xdr:row>11</xdr:row>
      <xdr:rowOff>116345</xdr:rowOff>
    </xdr:to>
    <xdr:sp macro="" textlink="">
      <xdr:nvSpPr>
        <xdr:cNvPr id="3" name="Rectangle 2">
          <a:extLst>
            <a:ext uri="{FF2B5EF4-FFF2-40B4-BE49-F238E27FC236}">
              <a16:creationId xmlns:a16="http://schemas.microsoft.com/office/drawing/2014/main" id="{ABE065B5-5DDE-AF2A-1634-043A9B7F65CA}"/>
            </a:ext>
          </a:extLst>
        </xdr:cNvPr>
        <xdr:cNvSpPr/>
      </xdr:nvSpPr>
      <xdr:spPr>
        <a:xfrm>
          <a:off x="622711" y="1051852"/>
          <a:ext cx="2683507" cy="1060207"/>
        </a:xfrm>
        <a:prstGeom prst="rect">
          <a:avLst/>
        </a:prstGeom>
        <a:solidFill>
          <a:srgbClr val="B21F4B"/>
        </a:solidFill>
        <a:ln w="1905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effectLst/>
              <a:latin typeface="Calibri"/>
              <a:ea typeface="Calibri"/>
              <a:cs typeface="Calibri"/>
            </a:rPr>
            <a:t>Total</a:t>
          </a:r>
          <a:r>
            <a:rPr lang="en-US" sz="2400" b="1" i="0" u="none" strike="noStrike" baseline="0">
              <a:solidFill>
                <a:schemeClr val="bg1"/>
              </a:solidFill>
              <a:effectLst/>
              <a:latin typeface="Calibri"/>
              <a:ea typeface="Calibri"/>
              <a:cs typeface="Calibri"/>
            </a:rPr>
            <a:t> Sales</a:t>
          </a:r>
          <a:endParaRPr lang="en-US" sz="2400" b="1" i="0" u="none" strike="noStrike">
            <a:solidFill>
              <a:schemeClr val="bg1"/>
            </a:solidFill>
            <a:effectLst/>
            <a:latin typeface="Calibri"/>
            <a:ea typeface="Calibri"/>
            <a:cs typeface="Calibri"/>
          </a:endParaRPr>
        </a:p>
      </xdr:txBody>
    </xdr:sp>
    <xdr:clientData/>
  </xdr:twoCellAnchor>
  <xdr:twoCellAnchor>
    <xdr:from>
      <xdr:col>0</xdr:col>
      <xdr:colOff>587375</xdr:colOff>
      <xdr:row>1</xdr:row>
      <xdr:rowOff>29028</xdr:rowOff>
    </xdr:from>
    <xdr:to>
      <xdr:col>31</xdr:col>
      <xdr:colOff>238126</xdr:colOff>
      <xdr:row>5</xdr:row>
      <xdr:rowOff>34637</xdr:rowOff>
    </xdr:to>
    <xdr:sp macro="" textlink="">
      <xdr:nvSpPr>
        <xdr:cNvPr id="4" name="TextBox 3">
          <a:extLst>
            <a:ext uri="{FF2B5EF4-FFF2-40B4-BE49-F238E27FC236}">
              <a16:creationId xmlns:a16="http://schemas.microsoft.com/office/drawing/2014/main" id="{D1B7D4DA-680D-B6DC-096E-0DAF03F58413}"/>
            </a:ext>
          </a:extLst>
        </xdr:cNvPr>
        <xdr:cNvSpPr txBox="1"/>
      </xdr:nvSpPr>
      <xdr:spPr>
        <a:xfrm>
          <a:off x="587375" y="219528"/>
          <a:ext cx="18351501" cy="767609"/>
        </a:xfrm>
        <a:prstGeom prst="rect">
          <a:avLst/>
        </a:prstGeom>
        <a:solidFill>
          <a:srgbClr val="8B1238"/>
        </a:solidFill>
        <a:ln w="12700" cmpd="sng">
          <a:solidFill>
            <a:srgbClr val="770F0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mn-lt"/>
              <a:cs typeface="Arial" panose="020B0604020202020204" pitchFamily="34" charset="0"/>
            </a:rPr>
            <a:t>E-COMMERCE SALES &amp; BUSINESS ANALYTICS </a:t>
          </a:r>
          <a:r>
            <a:rPr lang="en-IN" sz="2800" b="1" baseline="0">
              <a:solidFill>
                <a:schemeClr val="bg1"/>
              </a:solidFill>
              <a:latin typeface="+mn-lt"/>
              <a:cs typeface="Arial" panose="020B0604020202020204" pitchFamily="34" charset="0"/>
            </a:rPr>
            <a:t>  </a:t>
          </a:r>
          <a:r>
            <a:rPr lang="en-IN" sz="2800" b="1">
              <a:solidFill>
                <a:schemeClr val="bg1"/>
              </a:solidFill>
              <a:latin typeface="+mn-lt"/>
              <a:cs typeface="Arial" panose="020B0604020202020204" pitchFamily="34" charset="0"/>
            </a:rPr>
            <a:t>Jan 2024 – Jun 2024 </a:t>
          </a:r>
          <a:endParaRPr lang="en-IN" sz="2000" b="1">
            <a:solidFill>
              <a:schemeClr val="bg1"/>
            </a:solidFill>
            <a:latin typeface="+mn-lt"/>
            <a:cs typeface="Arial" panose="020B0604020202020204" pitchFamily="34" charset="0"/>
          </a:endParaRPr>
        </a:p>
      </xdr:txBody>
    </xdr:sp>
    <xdr:clientData/>
  </xdr:twoCellAnchor>
  <xdr:twoCellAnchor>
    <xdr:from>
      <xdr:col>14</xdr:col>
      <xdr:colOff>548759</xdr:colOff>
      <xdr:row>5</xdr:row>
      <xdr:rowOff>163141</xdr:rowOff>
    </xdr:from>
    <xdr:to>
      <xdr:col>19</xdr:col>
      <xdr:colOff>189213</xdr:colOff>
      <xdr:row>11</xdr:row>
      <xdr:rowOff>138545</xdr:rowOff>
    </xdr:to>
    <xdr:sp macro="" textlink="">
      <xdr:nvSpPr>
        <xdr:cNvPr id="5" name="Rectangle 4">
          <a:extLst>
            <a:ext uri="{FF2B5EF4-FFF2-40B4-BE49-F238E27FC236}">
              <a16:creationId xmlns:a16="http://schemas.microsoft.com/office/drawing/2014/main" id="{A821B60C-A97A-4B6C-AC37-4EC0CA51A4EE}"/>
            </a:ext>
          </a:extLst>
        </xdr:cNvPr>
        <xdr:cNvSpPr/>
      </xdr:nvSpPr>
      <xdr:spPr>
        <a:xfrm>
          <a:off x="9115486" y="1086777"/>
          <a:ext cx="2700000" cy="1083768"/>
        </a:xfrm>
        <a:prstGeom prst="rect">
          <a:avLst/>
        </a:prstGeom>
        <a:solidFill>
          <a:srgbClr val="B21F4B"/>
        </a:solidFill>
        <a:ln w="1905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t> </a:t>
          </a:r>
          <a:r>
            <a:rPr lang="en-US" sz="2400" b="1">
              <a:solidFill>
                <a:schemeClr val="bg1"/>
              </a:solidFill>
            </a:rPr>
            <a:t>Avg Orders Value</a:t>
          </a:r>
          <a:endParaRPr lang="en-US" b="1">
            <a:solidFill>
              <a:schemeClr val="bg1"/>
            </a:solidFill>
          </a:endParaRPr>
        </a:p>
      </xdr:txBody>
    </xdr:sp>
    <xdr:clientData/>
  </xdr:twoCellAnchor>
  <xdr:twoCellAnchor>
    <xdr:from>
      <xdr:col>5</xdr:col>
      <xdr:colOff>400688</xdr:colOff>
      <xdr:row>5</xdr:row>
      <xdr:rowOff>153925</xdr:rowOff>
    </xdr:from>
    <xdr:to>
      <xdr:col>10</xdr:col>
      <xdr:colOff>41142</xdr:colOff>
      <xdr:row>11</xdr:row>
      <xdr:rowOff>125561</xdr:rowOff>
    </xdr:to>
    <xdr:sp macro="" textlink="">
      <xdr:nvSpPr>
        <xdr:cNvPr id="6" name="Rectangle 5">
          <a:extLst>
            <a:ext uri="{FF2B5EF4-FFF2-40B4-BE49-F238E27FC236}">
              <a16:creationId xmlns:a16="http://schemas.microsoft.com/office/drawing/2014/main" id="{52D7B7FC-5466-4B76-8F55-2B8827C2E8D5}"/>
            </a:ext>
          </a:extLst>
        </xdr:cNvPr>
        <xdr:cNvSpPr/>
      </xdr:nvSpPr>
      <xdr:spPr>
        <a:xfrm>
          <a:off x="3460233" y="1077561"/>
          <a:ext cx="2700000" cy="1080000"/>
        </a:xfrm>
        <a:prstGeom prst="rect">
          <a:avLst/>
        </a:prstGeom>
        <a:solidFill>
          <a:srgbClr val="B21F4B"/>
        </a:solidFill>
        <a:ln w="1905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effectLst/>
            </a:rPr>
            <a:t>Total Orders</a:t>
          </a:r>
        </a:p>
      </xdr:txBody>
    </xdr:sp>
    <xdr:clientData/>
  </xdr:twoCellAnchor>
  <xdr:twoCellAnchor>
    <xdr:from>
      <xdr:col>10</xdr:col>
      <xdr:colOff>190971</xdr:colOff>
      <xdr:row>5</xdr:row>
      <xdr:rowOff>151923</xdr:rowOff>
    </xdr:from>
    <xdr:to>
      <xdr:col>14</xdr:col>
      <xdr:colOff>443335</xdr:colOff>
      <xdr:row>11</xdr:row>
      <xdr:rowOff>123559</xdr:rowOff>
    </xdr:to>
    <xdr:sp macro="" textlink="">
      <xdr:nvSpPr>
        <xdr:cNvPr id="7" name="Rectangle 6">
          <a:extLst>
            <a:ext uri="{FF2B5EF4-FFF2-40B4-BE49-F238E27FC236}">
              <a16:creationId xmlns:a16="http://schemas.microsoft.com/office/drawing/2014/main" id="{F9B37B8B-C3E1-4E26-8368-4B2B88415AE8}"/>
            </a:ext>
          </a:extLst>
        </xdr:cNvPr>
        <xdr:cNvSpPr/>
      </xdr:nvSpPr>
      <xdr:spPr>
        <a:xfrm>
          <a:off x="6296740" y="1080000"/>
          <a:ext cx="2694672" cy="1085328"/>
        </a:xfrm>
        <a:prstGeom prst="rect">
          <a:avLst/>
        </a:prstGeom>
        <a:solidFill>
          <a:srgbClr val="B21F4B"/>
        </a:solidFill>
        <a:ln w="1905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Total Qty</a:t>
          </a:r>
        </a:p>
      </xdr:txBody>
    </xdr:sp>
    <xdr:clientData/>
  </xdr:twoCellAnchor>
  <xdr:twoCellAnchor>
    <xdr:from>
      <xdr:col>19</xdr:col>
      <xdr:colOff>334157</xdr:colOff>
      <xdr:row>5</xdr:row>
      <xdr:rowOff>172356</xdr:rowOff>
    </xdr:from>
    <xdr:to>
      <xdr:col>23</xdr:col>
      <xdr:colOff>586521</xdr:colOff>
      <xdr:row>11</xdr:row>
      <xdr:rowOff>143992</xdr:rowOff>
    </xdr:to>
    <xdr:sp macro="" textlink="">
      <xdr:nvSpPr>
        <xdr:cNvPr id="8" name="Rectangle 7">
          <a:extLst>
            <a:ext uri="{FF2B5EF4-FFF2-40B4-BE49-F238E27FC236}">
              <a16:creationId xmlns:a16="http://schemas.microsoft.com/office/drawing/2014/main" id="{F6B4C86F-92DE-4440-ABCC-DCCC6ED21880}"/>
            </a:ext>
          </a:extLst>
        </xdr:cNvPr>
        <xdr:cNvSpPr/>
      </xdr:nvSpPr>
      <xdr:spPr>
        <a:xfrm>
          <a:off x="11837994" y="1058403"/>
          <a:ext cx="2674225" cy="1034891"/>
        </a:xfrm>
        <a:prstGeom prst="rect">
          <a:avLst/>
        </a:prstGeom>
        <a:solidFill>
          <a:srgbClr val="B21F4B"/>
        </a:solidFill>
        <a:ln w="1905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Return Rate</a:t>
          </a:r>
        </a:p>
      </xdr:txBody>
    </xdr:sp>
    <xdr:clientData/>
  </xdr:twoCellAnchor>
  <xdr:twoCellAnchor>
    <xdr:from>
      <xdr:col>12</xdr:col>
      <xdr:colOff>594092</xdr:colOff>
      <xdr:row>36</xdr:row>
      <xdr:rowOff>79375</xdr:rowOff>
    </xdr:from>
    <xdr:to>
      <xdr:col>27</xdr:col>
      <xdr:colOff>254000</xdr:colOff>
      <xdr:row>58</xdr:row>
      <xdr:rowOff>47624</xdr:rowOff>
    </xdr:to>
    <xdr:graphicFrame macro="">
      <xdr:nvGraphicFramePr>
        <xdr:cNvPr id="9" name="Chart 8">
          <a:extLst>
            <a:ext uri="{FF2B5EF4-FFF2-40B4-BE49-F238E27FC236}">
              <a16:creationId xmlns:a16="http://schemas.microsoft.com/office/drawing/2014/main" id="{3932D731-E671-4061-BED1-7E4AE5AAD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6437</xdr:colOff>
      <xdr:row>36</xdr:row>
      <xdr:rowOff>63501</xdr:rowOff>
    </xdr:from>
    <xdr:to>
      <xdr:col>12</xdr:col>
      <xdr:colOff>428624</xdr:colOff>
      <xdr:row>58</xdr:row>
      <xdr:rowOff>31751</xdr:rowOff>
    </xdr:to>
    <xdr:graphicFrame macro="">
      <xdr:nvGraphicFramePr>
        <xdr:cNvPr id="10" name="Chart 9">
          <a:extLst>
            <a:ext uri="{FF2B5EF4-FFF2-40B4-BE49-F238E27FC236}">
              <a16:creationId xmlns:a16="http://schemas.microsoft.com/office/drawing/2014/main" id="{CCB46C1C-2498-4BF6-90EB-650A6DD9D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58412</xdr:colOff>
      <xdr:row>12</xdr:row>
      <xdr:rowOff>115353</xdr:rowOff>
    </xdr:from>
    <xdr:to>
      <xdr:col>27</xdr:col>
      <xdr:colOff>222250</xdr:colOff>
      <xdr:row>35</xdr:row>
      <xdr:rowOff>95250</xdr:rowOff>
    </xdr:to>
    <xdr:graphicFrame macro="">
      <xdr:nvGraphicFramePr>
        <xdr:cNvPr id="11" name="Chart 10">
          <a:extLst>
            <a:ext uri="{FF2B5EF4-FFF2-40B4-BE49-F238E27FC236}">
              <a16:creationId xmlns:a16="http://schemas.microsoft.com/office/drawing/2014/main" id="{BE83C14C-947F-4894-BB3E-2343BF6BE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33534</xdr:colOff>
      <xdr:row>12</xdr:row>
      <xdr:rowOff>109839</xdr:rowOff>
    </xdr:from>
    <xdr:to>
      <xdr:col>19</xdr:col>
      <xdr:colOff>546100</xdr:colOff>
      <xdr:row>35</xdr:row>
      <xdr:rowOff>114300</xdr:rowOff>
    </xdr:to>
    <xdr:graphicFrame macro="">
      <xdr:nvGraphicFramePr>
        <xdr:cNvPr id="12" name="Chart 11">
          <a:extLst>
            <a:ext uri="{FF2B5EF4-FFF2-40B4-BE49-F238E27FC236}">
              <a16:creationId xmlns:a16="http://schemas.microsoft.com/office/drawing/2014/main" id="{B1128325-CEDB-462E-B806-B73C0C880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598351</xdr:colOff>
      <xdr:row>12</xdr:row>
      <xdr:rowOff>114547</xdr:rowOff>
    </xdr:from>
    <xdr:to>
      <xdr:col>11</xdr:col>
      <xdr:colOff>508000</xdr:colOff>
      <xdr:row>35</xdr:row>
      <xdr:rowOff>127000</xdr:rowOff>
    </xdr:to>
    <xdr:graphicFrame macro="">
      <xdr:nvGraphicFramePr>
        <xdr:cNvPr id="13" name="Chart 12">
          <a:extLst>
            <a:ext uri="{FF2B5EF4-FFF2-40B4-BE49-F238E27FC236}">
              <a16:creationId xmlns:a16="http://schemas.microsoft.com/office/drawing/2014/main" id="{F6A17E8A-C9A2-4153-BFAD-CCA3A0D55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403225</xdr:colOff>
      <xdr:row>31</xdr:row>
      <xdr:rowOff>170439</xdr:rowOff>
    </xdr:from>
    <xdr:to>
      <xdr:col>31</xdr:col>
      <xdr:colOff>333374</xdr:colOff>
      <xdr:row>41</xdr:row>
      <xdr:rowOff>78074</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E12FF112-2226-48C2-A698-CF1904990F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690975" y="6075939"/>
              <a:ext cx="2343149" cy="1812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368300</xdr:colOff>
      <xdr:row>22</xdr:row>
      <xdr:rowOff>13696</xdr:rowOff>
    </xdr:from>
    <xdr:to>
      <xdr:col>31</xdr:col>
      <xdr:colOff>381000</xdr:colOff>
      <xdr:row>31</xdr:row>
      <xdr:rowOff>89814</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6DDED0D4-629E-44A3-8607-949894380C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656050" y="4204696"/>
              <a:ext cx="2425700" cy="1790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112333</xdr:colOff>
      <xdr:row>6</xdr:row>
      <xdr:rowOff>14606</xdr:rowOff>
    </xdr:from>
    <xdr:to>
      <xdr:col>31</xdr:col>
      <xdr:colOff>269875</xdr:colOff>
      <xdr:row>11</xdr:row>
      <xdr:rowOff>174625</xdr:rowOff>
    </xdr:to>
    <mc:AlternateContent xmlns:mc="http://schemas.openxmlformats.org/markup-compatibility/2006" xmlns:tsle="http://schemas.microsoft.com/office/drawing/2012/timeslicer">
      <mc:Choice Requires="tsle">
        <xdr:graphicFrame macro="">
          <xdr:nvGraphicFramePr>
            <xdr:cNvPr id="16" name="Order_Date 1">
              <a:extLst>
                <a:ext uri="{FF2B5EF4-FFF2-40B4-BE49-F238E27FC236}">
                  <a16:creationId xmlns:a16="http://schemas.microsoft.com/office/drawing/2014/main" id="{00BACBE1-D1BF-45B0-BC17-0E65DD07EED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590333" y="1157606"/>
              <a:ext cx="4380292" cy="11125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438149</xdr:colOff>
      <xdr:row>41</xdr:row>
      <xdr:rowOff>98571</xdr:rowOff>
    </xdr:from>
    <xdr:to>
      <xdr:col>31</xdr:col>
      <xdr:colOff>285750</xdr:colOff>
      <xdr:row>57</xdr:row>
      <xdr:rowOff>79374</xdr:rowOff>
    </xdr:to>
    <mc:AlternateContent xmlns:mc="http://schemas.openxmlformats.org/markup-compatibility/2006" xmlns:a14="http://schemas.microsoft.com/office/drawing/2010/main">
      <mc:Choice Requires="a14">
        <xdr:graphicFrame macro="">
          <xdr:nvGraphicFramePr>
            <xdr:cNvPr id="17" name="Brand 1">
              <a:extLst>
                <a:ext uri="{FF2B5EF4-FFF2-40B4-BE49-F238E27FC236}">
                  <a16:creationId xmlns:a16="http://schemas.microsoft.com/office/drawing/2014/main" id="{DD173223-CEAB-47AF-B947-D921FFA5339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6725899" y="7909071"/>
              <a:ext cx="2260601" cy="3028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301625</xdr:colOff>
      <xdr:row>12</xdr:row>
      <xdr:rowOff>111124</xdr:rowOff>
    </xdr:from>
    <xdr:to>
      <xdr:col>31</xdr:col>
      <xdr:colOff>333375</xdr:colOff>
      <xdr:row>21</xdr:row>
      <xdr:rowOff>79375</xdr:rowOff>
    </xdr:to>
    <mc:AlternateContent xmlns:mc="http://schemas.openxmlformats.org/markup-compatibility/2006" xmlns:a14="http://schemas.microsoft.com/office/drawing/2010/main">
      <mc:Choice Requires="a14">
        <xdr:graphicFrame macro="">
          <xdr:nvGraphicFramePr>
            <xdr:cNvPr id="18" name="Order_Status 1">
              <a:extLst>
                <a:ext uri="{FF2B5EF4-FFF2-40B4-BE49-F238E27FC236}">
                  <a16:creationId xmlns:a16="http://schemas.microsoft.com/office/drawing/2014/main" id="{219A7000-522E-4A76-833E-3351A3742E5F}"/>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6589375" y="2397124"/>
              <a:ext cx="2444750" cy="1682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484909</xdr:colOff>
      <xdr:row>8</xdr:row>
      <xdr:rowOff>46182</xdr:rowOff>
    </xdr:from>
    <xdr:to>
      <xdr:col>4</xdr:col>
      <xdr:colOff>346363</xdr:colOff>
      <xdr:row>11</xdr:row>
      <xdr:rowOff>34636</xdr:rowOff>
    </xdr:to>
    <xdr:sp macro="" textlink="kpi!T6">
      <xdr:nvSpPr>
        <xdr:cNvPr id="20" name="Rectangle: Rounded Corners 19">
          <a:extLst>
            <a:ext uri="{FF2B5EF4-FFF2-40B4-BE49-F238E27FC236}">
              <a16:creationId xmlns:a16="http://schemas.microsoft.com/office/drawing/2014/main" id="{5B12D6B8-58EC-CF72-63F0-13A7137157D0}"/>
            </a:ext>
          </a:extLst>
        </xdr:cNvPr>
        <xdr:cNvSpPr/>
      </xdr:nvSpPr>
      <xdr:spPr>
        <a:xfrm>
          <a:off x="1096818" y="1524000"/>
          <a:ext cx="1697181" cy="542636"/>
        </a:xfrm>
        <a:prstGeom prst="roundRect">
          <a:avLst/>
        </a:prstGeom>
        <a:solidFill>
          <a:srgbClr val="8B1238"/>
        </a:solidFill>
        <a:ln w="12700">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09F662-9011-426D-A623-FACFF42336EE}" type="TxLink">
            <a:rPr lang="en-US" sz="2400" b="1" i="0" u="none" strike="noStrike">
              <a:solidFill>
                <a:schemeClr val="bg1"/>
              </a:solidFill>
              <a:latin typeface="Calibri"/>
              <a:ea typeface="Calibri"/>
              <a:cs typeface="Calibri"/>
            </a:rPr>
            <a:pPr algn="ctr"/>
            <a:t>38,750K</a:t>
          </a:fld>
          <a:endParaRPr lang="en-IN" sz="1100">
            <a:solidFill>
              <a:schemeClr val="bg1"/>
            </a:solidFill>
          </a:endParaRPr>
        </a:p>
      </xdr:txBody>
    </xdr:sp>
    <xdr:clientData/>
  </xdr:twoCellAnchor>
  <xdr:twoCellAnchor>
    <xdr:from>
      <xdr:col>6</xdr:col>
      <xdr:colOff>290944</xdr:colOff>
      <xdr:row>8</xdr:row>
      <xdr:rowOff>48492</xdr:rowOff>
    </xdr:from>
    <xdr:to>
      <xdr:col>9</xdr:col>
      <xdr:colOff>152398</xdr:colOff>
      <xdr:row>11</xdr:row>
      <xdr:rowOff>36946</xdr:rowOff>
    </xdr:to>
    <xdr:sp macro="" textlink="kpi!U6">
      <xdr:nvSpPr>
        <xdr:cNvPr id="21" name="Rectangle: Rounded Corners 20">
          <a:extLst>
            <a:ext uri="{FF2B5EF4-FFF2-40B4-BE49-F238E27FC236}">
              <a16:creationId xmlns:a16="http://schemas.microsoft.com/office/drawing/2014/main" id="{652DB59F-172B-4AD0-B67A-EF46E90E3B90}"/>
            </a:ext>
          </a:extLst>
        </xdr:cNvPr>
        <xdr:cNvSpPr/>
      </xdr:nvSpPr>
      <xdr:spPr>
        <a:xfrm>
          <a:off x="3962399" y="1526310"/>
          <a:ext cx="1697181" cy="542636"/>
        </a:xfrm>
        <a:prstGeom prst="roundRect">
          <a:avLst/>
        </a:prstGeom>
        <a:solidFill>
          <a:srgbClr val="8B1238"/>
        </a:solidFill>
        <a:ln>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E3F81B-061A-43C5-B7F1-192EAEC6AD33}" type="TxLink">
            <a:rPr lang="en-US" sz="2400" b="1" i="0" u="none" strike="noStrike">
              <a:solidFill>
                <a:schemeClr val="bg1"/>
              </a:solidFill>
              <a:latin typeface="Calibri"/>
              <a:ea typeface="Calibri"/>
              <a:cs typeface="Calibri"/>
            </a:rPr>
            <a:pPr algn="ctr"/>
            <a:t>480</a:t>
          </a:fld>
          <a:endParaRPr lang="en-IN" sz="1100">
            <a:solidFill>
              <a:schemeClr val="bg1"/>
            </a:solidFill>
          </a:endParaRPr>
        </a:p>
      </xdr:txBody>
    </xdr:sp>
    <xdr:clientData/>
  </xdr:twoCellAnchor>
  <xdr:twoCellAnchor>
    <xdr:from>
      <xdr:col>11</xdr:col>
      <xdr:colOff>85435</xdr:colOff>
      <xdr:row>8</xdr:row>
      <xdr:rowOff>50801</xdr:rowOff>
    </xdr:from>
    <xdr:to>
      <xdr:col>13</xdr:col>
      <xdr:colOff>558798</xdr:colOff>
      <xdr:row>11</xdr:row>
      <xdr:rowOff>39255</xdr:rowOff>
    </xdr:to>
    <xdr:sp macro="" textlink="kpi!AA7">
      <xdr:nvSpPr>
        <xdr:cNvPr id="22" name="Rectangle: Rounded Corners 21">
          <a:extLst>
            <a:ext uri="{FF2B5EF4-FFF2-40B4-BE49-F238E27FC236}">
              <a16:creationId xmlns:a16="http://schemas.microsoft.com/office/drawing/2014/main" id="{83251449-6D4D-4322-A09F-6F8B10CB61E2}"/>
            </a:ext>
          </a:extLst>
        </xdr:cNvPr>
        <xdr:cNvSpPr/>
      </xdr:nvSpPr>
      <xdr:spPr>
        <a:xfrm>
          <a:off x="6816435" y="1528619"/>
          <a:ext cx="1697181" cy="542636"/>
        </a:xfrm>
        <a:prstGeom prst="roundRect">
          <a:avLst/>
        </a:prstGeom>
        <a:solidFill>
          <a:srgbClr val="8B1238"/>
        </a:solidFill>
        <a:ln>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F26665-CDB5-49F0-A82D-974B7C56CF0A}" type="TxLink">
            <a:rPr lang="en-US" sz="2400" b="1" i="0" u="none" strike="noStrike">
              <a:solidFill>
                <a:schemeClr val="bg1"/>
              </a:solidFill>
              <a:latin typeface="Calibri"/>
              <a:ea typeface="Calibri"/>
              <a:cs typeface="Calibri"/>
            </a:rPr>
            <a:pPr algn="ctr"/>
            <a:t>480</a:t>
          </a:fld>
          <a:endParaRPr lang="en-IN" sz="2400" b="1">
            <a:solidFill>
              <a:schemeClr val="bg1"/>
            </a:solidFill>
          </a:endParaRPr>
        </a:p>
      </xdr:txBody>
    </xdr:sp>
    <xdr:clientData/>
  </xdr:twoCellAnchor>
  <xdr:twoCellAnchor>
    <xdr:from>
      <xdr:col>15</xdr:col>
      <xdr:colOff>595743</xdr:colOff>
      <xdr:row>8</xdr:row>
      <xdr:rowOff>64655</xdr:rowOff>
    </xdr:from>
    <xdr:to>
      <xdr:col>18</xdr:col>
      <xdr:colOff>457196</xdr:colOff>
      <xdr:row>11</xdr:row>
      <xdr:rowOff>53109</xdr:rowOff>
    </xdr:to>
    <xdr:sp macro="" textlink="kpi!V7">
      <xdr:nvSpPr>
        <xdr:cNvPr id="23" name="Rectangle: Rounded Corners 22">
          <a:extLst>
            <a:ext uri="{FF2B5EF4-FFF2-40B4-BE49-F238E27FC236}">
              <a16:creationId xmlns:a16="http://schemas.microsoft.com/office/drawing/2014/main" id="{AC9FAA61-7CBB-4EC8-95F7-9044ADA09229}"/>
            </a:ext>
          </a:extLst>
        </xdr:cNvPr>
        <xdr:cNvSpPr/>
      </xdr:nvSpPr>
      <xdr:spPr>
        <a:xfrm>
          <a:off x="9774379" y="1542473"/>
          <a:ext cx="1697181" cy="542636"/>
        </a:xfrm>
        <a:prstGeom prst="roundRect">
          <a:avLst/>
        </a:prstGeom>
        <a:solidFill>
          <a:srgbClr val="8B1238"/>
        </a:solidFill>
        <a:ln>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C175AC-E2E6-459D-B7BE-AB596992F9E6}" type="TxLink">
            <a:rPr lang="en-US" sz="2400" b="1" i="0" u="none" strike="noStrike">
              <a:solidFill>
                <a:schemeClr val="bg1"/>
              </a:solidFill>
              <a:latin typeface="Calibri"/>
              <a:ea typeface="Calibri"/>
              <a:cs typeface="Calibri"/>
            </a:rPr>
            <a:pPr algn="ctr"/>
            <a:t>81K</a:t>
          </a:fld>
          <a:endParaRPr lang="en-IN" sz="4800" b="1">
            <a:solidFill>
              <a:schemeClr val="bg1"/>
            </a:solidFill>
          </a:endParaRPr>
        </a:p>
      </xdr:txBody>
    </xdr:sp>
    <xdr:clientData/>
  </xdr:twoCellAnchor>
  <xdr:twoCellAnchor>
    <xdr:from>
      <xdr:col>20</xdr:col>
      <xdr:colOff>205506</xdr:colOff>
      <xdr:row>8</xdr:row>
      <xdr:rowOff>78510</xdr:rowOff>
    </xdr:from>
    <xdr:to>
      <xdr:col>23</xdr:col>
      <xdr:colOff>66960</xdr:colOff>
      <xdr:row>11</xdr:row>
      <xdr:rowOff>66964</xdr:rowOff>
    </xdr:to>
    <xdr:sp macro="" textlink="kpi!Z9">
      <xdr:nvSpPr>
        <xdr:cNvPr id="24" name="Rectangle: Rounded Corners 23">
          <a:extLst>
            <a:ext uri="{FF2B5EF4-FFF2-40B4-BE49-F238E27FC236}">
              <a16:creationId xmlns:a16="http://schemas.microsoft.com/office/drawing/2014/main" id="{B1DA031E-4443-44D9-B73F-FCBCF00BB7FD}"/>
            </a:ext>
          </a:extLst>
        </xdr:cNvPr>
        <xdr:cNvSpPr/>
      </xdr:nvSpPr>
      <xdr:spPr>
        <a:xfrm>
          <a:off x="12443688" y="1556328"/>
          <a:ext cx="1697181" cy="542636"/>
        </a:xfrm>
        <a:prstGeom prst="roundRect">
          <a:avLst/>
        </a:prstGeom>
        <a:solidFill>
          <a:srgbClr val="8B1238"/>
        </a:solidFill>
        <a:ln>
          <a:solidFill>
            <a:srgbClr val="D94F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818B8C-0EBA-48EA-95C0-B033793D9CC4}" type="TxLink">
            <a:rPr lang="en-US" sz="2400" b="1" i="0" u="none" strike="noStrike">
              <a:solidFill>
                <a:schemeClr val="bg1"/>
              </a:solidFill>
              <a:latin typeface="Calibri"/>
              <a:ea typeface="Calibri"/>
              <a:cs typeface="Calibri"/>
            </a:rPr>
            <a:pPr algn="ctr"/>
            <a:t>44.38%</a:t>
          </a:fld>
          <a:endParaRPr lang="en-IN"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6</xdr:row>
      <xdr:rowOff>101600</xdr:rowOff>
    </xdr:from>
    <xdr:to>
      <xdr:col>10</xdr:col>
      <xdr:colOff>158750</xdr:colOff>
      <xdr:row>21</xdr:row>
      <xdr:rowOff>82550</xdr:rowOff>
    </xdr:to>
    <xdr:graphicFrame macro="">
      <xdr:nvGraphicFramePr>
        <xdr:cNvPr id="2" name="Chart 1">
          <a:extLst>
            <a:ext uri="{FF2B5EF4-FFF2-40B4-BE49-F238E27FC236}">
              <a16:creationId xmlns:a16="http://schemas.microsoft.com/office/drawing/2014/main" id="{4BCE1489-B23B-73FF-4F0D-6069F4902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498475</xdr:colOff>
      <xdr:row>22</xdr:row>
      <xdr:rowOff>177800</xdr:rowOff>
    </xdr:from>
    <xdr:to>
      <xdr:col>10</xdr:col>
      <xdr:colOff>92075</xdr:colOff>
      <xdr:row>37</xdr:row>
      <xdr:rowOff>158750</xdr:rowOff>
    </xdr:to>
    <xdr:graphicFrame macro="">
      <xdr:nvGraphicFramePr>
        <xdr:cNvPr id="3" name="Chart 2">
          <a:extLst>
            <a:ext uri="{FF2B5EF4-FFF2-40B4-BE49-F238E27FC236}">
              <a16:creationId xmlns:a16="http://schemas.microsoft.com/office/drawing/2014/main" id="{9C1603E1-DE6D-8983-B981-A35FE3072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40</xdr:row>
      <xdr:rowOff>133350</xdr:rowOff>
    </xdr:from>
    <xdr:to>
      <xdr:col>9</xdr:col>
      <xdr:colOff>603250</xdr:colOff>
      <xdr:row>55</xdr:row>
      <xdr:rowOff>114300</xdr:rowOff>
    </xdr:to>
    <xdr:graphicFrame macro="">
      <xdr:nvGraphicFramePr>
        <xdr:cNvPr id="4" name="Chart 3">
          <a:extLst>
            <a:ext uri="{FF2B5EF4-FFF2-40B4-BE49-F238E27FC236}">
              <a16:creationId xmlns:a16="http://schemas.microsoft.com/office/drawing/2014/main" id="{868A88EB-08FD-CF0F-DC3E-5FF354EBC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498475</xdr:colOff>
      <xdr:row>56</xdr:row>
      <xdr:rowOff>63500</xdr:rowOff>
    </xdr:from>
    <xdr:to>
      <xdr:col>7</xdr:col>
      <xdr:colOff>101600</xdr:colOff>
      <xdr:row>68</xdr:row>
      <xdr:rowOff>152400</xdr:rowOff>
    </xdr:to>
    <xdr:graphicFrame macro="">
      <xdr:nvGraphicFramePr>
        <xdr:cNvPr id="5" name="Chart 4">
          <a:extLst>
            <a:ext uri="{FF2B5EF4-FFF2-40B4-BE49-F238E27FC236}">
              <a16:creationId xmlns:a16="http://schemas.microsoft.com/office/drawing/2014/main" id="{1FA9F5B4-D494-129C-278E-347B1F2E9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596900</xdr:colOff>
      <xdr:row>69</xdr:row>
      <xdr:rowOff>44450</xdr:rowOff>
    </xdr:from>
    <xdr:to>
      <xdr:col>10</xdr:col>
      <xdr:colOff>190500</xdr:colOff>
      <xdr:row>84</xdr:row>
      <xdr:rowOff>25400</xdr:rowOff>
    </xdr:to>
    <xdr:graphicFrame macro="">
      <xdr:nvGraphicFramePr>
        <xdr:cNvPr id="6" name="Chart 5">
          <a:extLst>
            <a:ext uri="{FF2B5EF4-FFF2-40B4-BE49-F238E27FC236}">
              <a16:creationId xmlns:a16="http://schemas.microsoft.com/office/drawing/2014/main" id="{CBBA5989-0097-FBAB-4408-C01DC567B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57150</xdr:colOff>
      <xdr:row>8</xdr:row>
      <xdr:rowOff>133351</xdr:rowOff>
    </xdr:from>
    <xdr:to>
      <xdr:col>17</xdr:col>
      <xdr:colOff>57150</xdr:colOff>
      <xdr:row>17</xdr:row>
      <xdr:rowOff>84860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491AC31-FB7A-469E-C289-CCC167D696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59950" y="1606551"/>
              <a:ext cx="1828800" cy="181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482600</xdr:colOff>
      <xdr:row>8</xdr:row>
      <xdr:rowOff>114301</xdr:rowOff>
    </xdr:from>
    <xdr:to>
      <xdr:col>13</xdr:col>
      <xdr:colOff>482599</xdr:colOff>
      <xdr:row>17</xdr:row>
      <xdr:rowOff>103910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2BB92CF-5BC8-4AFB-5FBC-7F3E17E3ED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47000" y="1587501"/>
              <a:ext cx="182880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450850</xdr:colOff>
      <xdr:row>19</xdr:row>
      <xdr:rowOff>63500</xdr:rowOff>
    </xdr:from>
    <xdr:to>
      <xdr:col>13</xdr:col>
      <xdr:colOff>450849</xdr:colOff>
      <xdr:row>33</xdr:row>
      <xdr:rowOff>9526</xdr:rowOff>
    </xdr:to>
    <mc:AlternateContent xmlns:mc="http://schemas.openxmlformats.org/markup-compatibility/2006" xmlns:a14="http://schemas.microsoft.com/office/drawing/2010/main">
      <mc:Choice Requires="a14">
        <xdr:graphicFrame macro="">
          <xdr:nvGraphicFramePr>
            <xdr:cNvPr id="10" name="Brand">
              <a:extLst>
                <a:ext uri="{FF2B5EF4-FFF2-40B4-BE49-F238E27FC236}">
                  <a16:creationId xmlns:a16="http://schemas.microsoft.com/office/drawing/2014/main" id="{CD30DDDA-1465-BC7F-6B57-BDB0FEAF038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715250" y="3562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19</xdr:row>
      <xdr:rowOff>59459</xdr:rowOff>
    </xdr:from>
    <xdr:to>
      <xdr:col>16</xdr:col>
      <xdr:colOff>571500</xdr:colOff>
      <xdr:row>29</xdr:row>
      <xdr:rowOff>27710</xdr:rowOff>
    </xdr:to>
    <mc:AlternateContent xmlns:mc="http://schemas.openxmlformats.org/markup-compatibility/2006" xmlns:a14="http://schemas.microsoft.com/office/drawing/2010/main">
      <mc:Choice Requires="a14">
        <xdr:graphicFrame macro="">
          <xdr:nvGraphicFramePr>
            <xdr:cNvPr id="11" name="Order_Status">
              <a:extLst>
                <a:ext uri="{FF2B5EF4-FFF2-40B4-BE49-F238E27FC236}">
                  <a16:creationId xmlns:a16="http://schemas.microsoft.com/office/drawing/2014/main" id="{31F0C698-DA98-8D31-B826-AAFC8950B50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9957955" y="3984914"/>
              <a:ext cx="1835727" cy="1815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495877</xdr:colOff>
      <xdr:row>34</xdr:row>
      <xdr:rowOff>128153</xdr:rowOff>
    </xdr:from>
    <xdr:to>
      <xdr:col>20</xdr:col>
      <xdr:colOff>438728</xdr:colOff>
      <xdr:row>42</xdr:row>
      <xdr:rowOff>92363</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E984A1B5-8EA1-ADA0-BE81-C687E5EE9FA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18059" y="6824517"/>
              <a:ext cx="2898487" cy="14420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194541</xdr:colOff>
      <xdr:row>19</xdr:row>
      <xdr:rowOff>170296</xdr:rowOff>
    </xdr:from>
    <xdr:to>
      <xdr:col>19</xdr:col>
      <xdr:colOff>799523</xdr:colOff>
      <xdr:row>33</xdr:row>
      <xdr:rowOff>108240</xdr:rowOff>
    </xdr:to>
    <mc:AlternateContent xmlns:mc="http://schemas.openxmlformats.org/markup-compatibility/2006" xmlns:a14="http://schemas.microsoft.com/office/drawing/2010/main">
      <mc:Choice Requires="a14">
        <xdr:graphicFrame macro="">
          <xdr:nvGraphicFramePr>
            <xdr:cNvPr id="15" name="Order_Date 2">
              <a:extLst>
                <a:ext uri="{FF2B5EF4-FFF2-40B4-BE49-F238E27FC236}">
                  <a16:creationId xmlns:a16="http://schemas.microsoft.com/office/drawing/2014/main" id="{D0DE0BA6-DD8E-44F2-8CE0-D01A0853A008}"/>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mlns="">
        <xdr:sp macro="" textlink="">
          <xdr:nvSpPr>
            <xdr:cNvPr id="0" name=""/>
            <xdr:cNvSpPr>
              <a:spLocks noTextEdit="1"/>
            </xdr:cNvSpPr>
          </xdr:nvSpPr>
          <xdr:spPr>
            <a:xfrm>
              <a:off x="12028632" y="40957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4.950562962964" createdVersion="8" refreshedVersion="8" minRefreshableVersion="3" recordCount="480" xr:uid="{08983D9C-6FB3-451D-8930-47FB47D30A6A}">
  <cacheSource type="worksheet">
    <worksheetSource name="Table1"/>
  </cacheSource>
  <cacheFields count="24">
    <cacheField name="Order_ID" numFmtId="0">
      <sharedItems/>
    </cacheField>
    <cacheField name="Order_Date" numFmtId="0">
      <sharedItems containsSemiMixedTypes="0" containsNonDate="0" containsDate="1" containsString="0" minDate="2024-01-01T00:00:00" maxDate="2024-06-30T00:00:00" count="169">
        <d v="2024-05-30T00:00:00"/>
        <d v="2024-06-29T00:00:00"/>
        <d v="2024-06-24T00:00:00"/>
        <d v="2024-01-24T00:00:00"/>
        <d v="2024-05-09T00:00:00"/>
        <d v="2024-02-02T00:00:00"/>
        <d v="2024-02-28T00:00:00"/>
        <d v="2024-04-13T00:00:00"/>
        <d v="2024-04-12T00:00:00"/>
        <d v="2024-05-10T00:00:00"/>
        <d v="2024-01-19T00:00:00"/>
        <d v="2024-01-30T00:00:00"/>
        <d v="2024-01-20T00:00:00"/>
        <d v="2024-03-26T00:00:00"/>
        <d v="2024-03-25T00:00:00"/>
        <d v="2024-06-18T00:00:00"/>
        <d v="2024-06-21T00:00:00"/>
        <d v="2024-03-03T00:00:00"/>
        <d v="2024-04-24T00:00:00"/>
        <d v="2024-01-16T00:00:00"/>
        <d v="2024-04-29T00:00:00"/>
        <d v="2024-05-18T00:00:00"/>
        <d v="2024-05-28T00:00:00"/>
        <d v="2024-04-02T00:00:00"/>
        <d v="2024-03-24T00:00:00"/>
        <d v="2024-05-01T00:00:00"/>
        <d v="2024-01-04T00:00:00"/>
        <d v="2024-03-04T00:00:00"/>
        <d v="2024-01-01T00:00:00"/>
        <d v="2024-02-01T00:00:00"/>
        <d v="2024-05-29T00:00:00"/>
        <d v="2024-02-18T00:00:00"/>
        <d v="2024-05-07T00:00:00"/>
        <d v="2024-02-08T00:00:00"/>
        <d v="2024-04-22T00:00:00"/>
        <d v="2024-06-07T00:00:00"/>
        <d v="2024-06-17T00:00:00"/>
        <d v="2024-05-22T00:00:00"/>
        <d v="2024-04-23T00:00:00"/>
        <d v="2024-02-29T00:00:00"/>
        <d v="2024-04-25T00:00:00"/>
        <d v="2024-06-01T00:00:00"/>
        <d v="2024-01-07T00:00:00"/>
        <d v="2024-01-14T00:00:00"/>
        <d v="2024-02-24T00:00:00"/>
        <d v="2024-03-01T00:00:00"/>
        <d v="2024-03-31T00:00:00"/>
        <d v="2024-06-14T00:00:00"/>
        <d v="2024-02-03T00:00:00"/>
        <d v="2024-04-28T00:00:00"/>
        <d v="2024-04-16T00:00:00"/>
        <d v="2024-05-20T00:00:00"/>
        <d v="2024-05-14T00:00:00"/>
        <d v="2024-02-04T00:00:00"/>
        <d v="2024-03-11T00:00:00"/>
        <d v="2024-04-03T00:00:00"/>
        <d v="2024-06-19T00:00:00"/>
        <d v="2024-04-14T00:00:00"/>
        <d v="2024-03-05T00:00:00"/>
        <d v="2024-03-02T00:00:00"/>
        <d v="2024-01-13T00:00:00"/>
        <d v="2024-06-05T00:00:00"/>
        <d v="2024-01-21T00:00:00"/>
        <d v="2024-02-10T00:00:00"/>
        <d v="2024-03-17T00:00:00"/>
        <d v="2024-04-19T00:00:00"/>
        <d v="2024-04-04T00:00:00"/>
        <d v="2024-03-29T00:00:00"/>
        <d v="2024-01-31T00:00:00"/>
        <d v="2024-01-18T00:00:00"/>
        <d v="2024-04-15T00:00:00"/>
        <d v="2024-01-05T00:00:00"/>
        <d v="2024-03-14T00:00:00"/>
        <d v="2024-02-15T00:00:00"/>
        <d v="2024-03-28T00:00:00"/>
        <d v="2024-02-13T00:00:00"/>
        <d v="2024-04-20T00:00:00"/>
        <d v="2024-02-23T00:00:00"/>
        <d v="2024-01-28T00:00:00"/>
        <d v="2024-02-06T00:00:00"/>
        <d v="2024-06-26T00:00:00"/>
        <d v="2024-02-27T00:00:00"/>
        <d v="2024-04-26T00:00:00"/>
        <d v="2024-05-12T00:00:00"/>
        <d v="2024-03-20T00:00:00"/>
        <d v="2024-01-23T00:00:00"/>
        <d v="2024-04-21T00:00:00"/>
        <d v="2024-02-26T00:00:00"/>
        <d v="2024-04-07T00:00:00"/>
        <d v="2024-05-19T00:00:00"/>
        <d v="2024-03-07T00:00:00"/>
        <d v="2024-04-09T00:00:00"/>
        <d v="2024-05-26T00:00:00"/>
        <d v="2024-03-22T00:00:00"/>
        <d v="2024-02-14T00:00:00"/>
        <d v="2024-01-08T00:00:00"/>
        <d v="2024-04-06T00:00:00"/>
        <d v="2024-02-16T00:00:00"/>
        <d v="2024-05-08T00:00:00"/>
        <d v="2024-05-05T00:00:00"/>
        <d v="2024-01-12T00:00:00"/>
        <d v="2024-05-16T00:00:00"/>
        <d v="2024-05-03T00:00:00"/>
        <d v="2024-01-03T00:00:00"/>
        <d v="2024-04-01T00:00:00"/>
        <d v="2024-06-03T00:00:00"/>
        <d v="2024-06-09T00:00:00"/>
        <d v="2024-03-08T00:00:00"/>
        <d v="2024-02-05T00:00:00"/>
        <d v="2024-01-11T00:00:00"/>
        <d v="2024-02-12T00:00:00"/>
        <d v="2024-03-13T00:00:00"/>
        <d v="2024-06-23T00:00:00"/>
        <d v="2024-03-09T00:00:00"/>
        <d v="2024-04-17T00:00:00"/>
        <d v="2024-04-11T00:00:00"/>
        <d v="2024-03-10T00:00:00"/>
        <d v="2024-06-25T00:00:00"/>
        <d v="2024-02-25T00:00:00"/>
        <d v="2024-06-02T00:00:00"/>
        <d v="2024-06-11T00:00:00"/>
        <d v="2024-06-15T00:00:00"/>
        <d v="2024-05-13T00:00:00"/>
        <d v="2024-01-22T00:00:00"/>
        <d v="2024-03-15T00:00:00"/>
        <d v="2024-04-05T00:00:00"/>
        <d v="2024-03-30T00:00:00"/>
        <d v="2024-02-07T00:00:00"/>
        <d v="2024-01-15T00:00:00"/>
        <d v="2024-04-30T00:00:00"/>
        <d v="2024-06-10T00:00:00"/>
        <d v="2024-01-09T00:00:00"/>
        <d v="2024-02-09T00:00:00"/>
        <d v="2024-01-02T00:00:00"/>
        <d v="2024-06-16T00:00:00"/>
        <d v="2024-05-25T00:00:00"/>
        <d v="2024-06-13T00:00:00"/>
        <d v="2024-01-17T00:00:00"/>
        <d v="2024-05-27T00:00:00"/>
        <d v="2024-01-06T00:00:00"/>
        <d v="2024-05-06T00:00:00"/>
        <d v="2024-05-24T00:00:00"/>
        <d v="2024-02-20T00:00:00"/>
        <d v="2024-01-26T00:00:00"/>
        <d v="2024-06-12T00:00:00"/>
        <d v="2024-01-25T00:00:00"/>
        <d v="2024-05-31T00:00:00"/>
        <d v="2024-06-27T00:00:00"/>
        <d v="2024-03-16T00:00:00"/>
        <d v="2024-02-11T00:00:00"/>
        <d v="2024-04-08T00:00:00"/>
        <d v="2024-01-27T00:00:00"/>
        <d v="2024-01-29T00:00:00"/>
        <d v="2024-03-12T00:00:00"/>
        <d v="2024-02-21T00:00:00"/>
        <d v="2024-05-17T00:00:00"/>
        <d v="2024-05-11T00:00:00"/>
        <d v="2024-05-15T00:00:00"/>
        <d v="2024-04-10T00:00:00"/>
        <d v="2024-04-27T00:00:00"/>
        <d v="2024-03-18T00:00:00"/>
        <d v="2024-06-04T00:00:00"/>
        <d v="2024-03-23T00:00:00"/>
        <d v="2024-02-17T00:00:00"/>
        <d v="2024-05-21T00:00:00"/>
        <d v="2024-03-19T00:00:00"/>
        <d v="2024-05-04T00:00:00"/>
        <d v="2024-06-08T00:00:00"/>
        <d v="2024-05-02T00:00:00"/>
      </sharedItems>
      <fieldGroup par="23"/>
    </cacheField>
    <cacheField name="Customer_Name" numFmtId="0">
      <sharedItems/>
    </cacheField>
    <cacheField name="Customer_ID" numFmtId="0">
      <sharedItems/>
    </cacheField>
    <cacheField name="Email" numFmtId="0">
      <sharedItems/>
    </cacheField>
    <cacheField name="Phone" numFmtId="0">
      <sharedItems/>
    </cacheField>
    <cacheField name="City" numFmtId="0">
      <sharedItems/>
    </cacheField>
    <cacheField name="State" numFmtId="0">
      <sharedItems/>
    </cacheField>
    <cacheField name="Region" numFmtId="0">
      <sharedItems count="5">
        <s v="South"/>
        <s v="West"/>
        <s v="North"/>
        <s v="East"/>
        <s v="Central"/>
      </sharedItems>
    </cacheField>
    <cacheField name="Product_ID" numFmtId="0">
      <sharedItems/>
    </cacheField>
    <cacheField name="Product_Name" numFmtId="0">
      <sharedItems count="26">
        <s v="Nescafe Classic 200g"/>
        <s v="Tanishq Gold Ring"/>
        <s v="OnePlus Nord CE 3"/>
        <s v="Fastrack Reflex Beat"/>
        <s v="Samsung Galaxy M14"/>
        <s v="Voltas 1.5T Desert Cooler"/>
        <s v="Realme Buds Air 3"/>
        <s v="Britannia Good Day"/>
        <s v="HP Pavilion Laptop"/>
        <s v="iPhone 14 Pro"/>
        <s v="Levi's 511 Jeans"/>
        <s v="Syska LED Bulb Pack"/>
        <s v="Samsung TV 43&quot;"/>
        <s v="Amul Butter 500g"/>
        <s v="Parle-G Family Pack"/>
        <s v="Philips Mixer Grinder"/>
        <s v="LG Double Door Refrigerator"/>
        <s v="Banarasi Silk Saree"/>
        <s v="Titan Raga Watch"/>
        <s v="Boat Airdopes 141"/>
        <s v="Check Requried"/>
        <s v="VIP Trolley Bag"/>
        <s v="Prestige Pressure Cooker"/>
        <s v="Nike Running Shoes"/>
        <s v="Adidas Originals Tee"/>
        <s v="Whirlpool 1.5T AC"/>
      </sharedItems>
    </cacheField>
    <cacheField name="Category" numFmtId="0">
      <sharedItems count="5">
        <s v="Grocery"/>
        <s v="Jewellery"/>
        <s v="Electronics"/>
        <s v="Fashion"/>
        <s v="Home"/>
      </sharedItems>
    </cacheField>
    <cacheField name="Sub_Category" numFmtId="0">
      <sharedItems/>
    </cacheField>
    <cacheField name="Brand" numFmtId="0">
      <sharedItems count="24">
        <s v="Nestlé"/>
        <s v="Tanishq"/>
        <s v="OnePlus"/>
        <s v="Fastrack"/>
        <s v="Samsung"/>
        <s v="Voltas"/>
        <s v="Realme"/>
        <s v="Britannia"/>
        <s v="HP"/>
        <s v="Apple"/>
        <s v="Levi's"/>
        <s v="Syska"/>
        <s v="Amul"/>
        <s v="Parle"/>
        <s v="Philips"/>
        <s v="LG"/>
        <s v="Fab India"/>
        <s v="Titan"/>
        <s v="Boat"/>
        <s v="VIP"/>
        <s v="Prestige"/>
        <s v="Nike"/>
        <s v="Adidas"/>
        <s v="Whirlpool"/>
      </sharedItems>
    </cacheField>
    <cacheField name="Quantity" numFmtId="2">
      <sharedItems containsSemiMixedTypes="0" containsString="0" containsNumber="1" containsInteger="1" minValue="1" maxValue="10"/>
    </cacheField>
    <cacheField name="Unit_Price" numFmtId="2">
      <sharedItems containsSemiMixedTypes="0" containsString="0" containsNumber="1" containsInteger="1" minValue="0" maxValue="89000"/>
    </cacheField>
    <cacheField name="Discount_%" numFmtId="166">
      <sharedItems containsSemiMixedTypes="0" containsString="0" containsNumber="1" containsInteger="1" minValue="0" maxValue="80"/>
    </cacheField>
    <cacheField name="GST_%" numFmtId="0">
      <sharedItems containsSemiMixedTypes="0" containsString="0" containsNumber="1" containsInteger="1" minValue="3" maxValue="18"/>
    </cacheField>
    <cacheField name="Total_Amount2" numFmtId="3">
      <sharedItems containsSemiMixedTypes="0" containsString="0" containsNumber="1" minValue="0" maxValue="997690"/>
    </cacheField>
    <cacheField name="Payment_Mode" numFmtId="3">
      <sharedItems count="7">
        <s v="Cash"/>
        <s v="Upi"/>
        <s v="Net Banking"/>
        <s v="Debit Card"/>
        <s v="Emi"/>
        <s v="Credit Card"/>
        <s v="Cash On Delivery" u="1"/>
      </sharedItems>
    </cacheField>
    <cacheField name="Order_Status" numFmtId="0">
      <sharedItems count="5">
        <s v="Cancelled"/>
        <s v="Returned"/>
        <s v="Shipped"/>
        <s v="Delivered"/>
        <s v="Pending"/>
      </sharedItems>
    </cacheField>
    <cacheField name="Return_Flag" numFmtId="0">
      <sharedItems count="2">
        <s v="No"/>
        <s v="Yes"/>
      </sharedItems>
    </cacheField>
    <cacheField name="Days (Order_Date)" numFmtId="0" databaseField="0">
      <fieldGroup base="1">
        <rangePr groupBy="days" startDate="2024-01-01T00:00:00" endDate="2024-06-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Order_Date)" numFmtId="0" databaseField="0">
      <fieldGroup base="1">
        <rangePr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790879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s v="ORD-1001"/>
    <x v="0"/>
    <s v="Arjun Mehta"/>
    <s v="CUST-001"/>
    <s v="arjunmeh@gmail.com"/>
    <s v="7815115025"/>
    <s v="Hydrabad"/>
    <s v="Telangana"/>
    <x v="0"/>
    <s v="PROD-108"/>
    <x v="0"/>
    <x v="0"/>
    <s v="Beverage"/>
    <x v="0"/>
    <n v="2"/>
    <n v="450"/>
    <n v="0"/>
    <n v="5"/>
    <n v="945"/>
    <x v="0"/>
    <x v="0"/>
    <x v="0"/>
  </r>
  <r>
    <s v="ORD-1002"/>
    <x v="1"/>
    <s v="Preethi S"/>
    <s v="CUST-002"/>
    <s v="@gmail"/>
    <s v="9673561638"/>
    <s v="Surat"/>
    <s v="Gujarat"/>
    <x v="1"/>
    <s v="PROD-125"/>
    <x v="1"/>
    <x v="1"/>
    <s v="Gold"/>
    <x v="1"/>
    <n v="10"/>
    <n v="25000"/>
    <n v="20"/>
    <n v="3"/>
    <n v="206000"/>
    <x v="1"/>
    <x v="1"/>
    <x v="0"/>
  </r>
  <r>
    <s v="ORD-1003"/>
    <x v="2"/>
    <s v="Rekha Pandey"/>
    <s v="CUST-003"/>
    <s v="rekhapan@gmail.com"/>
    <s v="769357567"/>
    <s v="Bengaluru"/>
    <s v="Karnataka"/>
    <x v="0"/>
    <s v="PROD-115"/>
    <x v="2"/>
    <x v="2"/>
    <s v="Mobile"/>
    <x v="2"/>
    <n v="5"/>
    <n v="28000"/>
    <n v="10"/>
    <n v="18"/>
    <n v="148680"/>
    <x v="2"/>
    <x v="2"/>
    <x v="0"/>
  </r>
  <r>
    <s v="ORD-1004"/>
    <x v="3"/>
    <s v="Geetha Rao"/>
    <s v="CUST-004"/>
    <s v="geethara@yahoo.com"/>
    <s v="7813163240"/>
    <s v="Surat"/>
    <s v="Gujarat"/>
    <x v="1"/>
    <s v="PROD-119"/>
    <x v="3"/>
    <x v="3"/>
    <s v="Accessories"/>
    <x v="3"/>
    <n v="8"/>
    <n v="3500"/>
    <n v="20"/>
    <n v="18"/>
    <n v="26432"/>
    <x v="3"/>
    <x v="2"/>
    <x v="0"/>
  </r>
  <r>
    <s v="ORD-1005"/>
    <x v="4"/>
    <s v="Dinesh K"/>
    <s v="CUST-005"/>
    <s v="dineshk@outlook.com"/>
    <s v="6854316681"/>
    <s v="Delhi"/>
    <s v="Delhi"/>
    <x v="2"/>
    <s v="PROD-120"/>
    <x v="4"/>
    <x v="2"/>
    <s v="Mobile"/>
    <x v="4"/>
    <n v="1"/>
    <n v="14000"/>
    <n v="15"/>
    <n v="18"/>
    <n v="14042"/>
    <x v="4"/>
    <x v="2"/>
    <x v="0"/>
  </r>
  <r>
    <s v="ORD-1006"/>
    <x v="5"/>
    <s v="Suresh Kumar"/>
    <s v="CUST-006"/>
    <s v="sureshku@rediffmail.com"/>
    <s v="8605301030"/>
    <s v="Kochi"/>
    <s v="Kerala"/>
    <x v="0"/>
    <s v="PROD-118"/>
    <x v="5"/>
    <x v="4"/>
    <s v="Appliance"/>
    <x v="5"/>
    <n v="1"/>
    <n v="12000"/>
    <n v="0"/>
    <n v="18"/>
    <n v="14160"/>
    <x v="3"/>
    <x v="2"/>
    <x v="1"/>
  </r>
  <r>
    <s v="ORD-1007"/>
    <x v="6"/>
    <s v="Swati Gupta"/>
    <s v="CUST-007"/>
    <s v="swatigup@outlook.com"/>
    <s v="8873237671"/>
    <s v="Pune"/>
    <s v="Maharashtra"/>
    <x v="1"/>
    <s v="PROD-125"/>
    <x v="1"/>
    <x v="1"/>
    <s v="Gold"/>
    <x v="1"/>
    <n v="6"/>
    <n v="25000"/>
    <n v="80"/>
    <n v="3"/>
    <n v="30899.999999999993"/>
    <x v="5"/>
    <x v="0"/>
    <x v="0"/>
  </r>
  <r>
    <s v="ORD-1008"/>
    <x v="7"/>
    <s v="Nisha Patel"/>
    <s v="CUST-008"/>
    <s v="nishapat@gmail.com"/>
    <s v="7926780541"/>
    <s v="Pune"/>
    <s v="Maharashtra"/>
    <x v="1"/>
    <s v="PROD-124"/>
    <x v="6"/>
    <x v="2"/>
    <s v="Audio"/>
    <x v="6"/>
    <n v="7"/>
    <n v="2800"/>
    <n v="25"/>
    <n v="18"/>
    <n v="17346"/>
    <x v="2"/>
    <x v="2"/>
    <x v="0"/>
  </r>
  <r>
    <s v="ORD-1009"/>
    <x v="8"/>
    <s v="Kavya Rao"/>
    <s v="CUST-009"/>
    <s v="kavyarao@gmail.com"/>
    <s v="9367557574"/>
    <s v="Bengaluru"/>
    <s v="Karnataka"/>
    <x v="0"/>
    <s v="PROD-115"/>
    <x v="2"/>
    <x v="2"/>
    <s v="Mobile"/>
    <x v="2"/>
    <n v="9"/>
    <n v="28000"/>
    <n v="5"/>
    <n v="18"/>
    <n v="282492"/>
    <x v="3"/>
    <x v="3"/>
    <x v="0"/>
  </r>
  <r>
    <s v="ORD-1010"/>
    <x v="9"/>
    <s v="Rashmi Verma"/>
    <s v="CUST-010"/>
    <s v="rashmive@gmail.com"/>
    <s v="7010193046"/>
    <s v="Jaipur"/>
    <s v="Rajasthan"/>
    <x v="2"/>
    <s v="PROD-124"/>
    <x v="6"/>
    <x v="2"/>
    <s v="Audio"/>
    <x v="6"/>
    <n v="5"/>
    <n v="2800"/>
    <n v="15"/>
    <n v="18"/>
    <n v="14042"/>
    <x v="5"/>
    <x v="1"/>
    <x v="0"/>
  </r>
  <r>
    <s v="ORD-1011"/>
    <x v="10"/>
    <s v="Geetha Rao"/>
    <s v="CUST-011"/>
    <s v="geethara@rediffmail.com"/>
    <s v="6915490795"/>
    <s v="Bengaluru"/>
    <s v="Karnataka"/>
    <x v="0"/>
    <s v="PROD-119"/>
    <x v="3"/>
    <x v="3"/>
    <s v="Accessories"/>
    <x v="3"/>
    <n v="10"/>
    <n v="3500"/>
    <n v="15"/>
    <n v="18"/>
    <n v="35105"/>
    <x v="4"/>
    <x v="3"/>
    <x v="0"/>
  </r>
  <r>
    <s v="ORD-1012"/>
    <x v="11"/>
    <s v="Arun Sharma"/>
    <s v="CUST-012"/>
    <s v="arunshar@yahoo.com"/>
    <s v="9082120871"/>
    <s v="Surat"/>
    <s v="Gujarat"/>
    <x v="1"/>
    <s v="PROD-112"/>
    <x v="7"/>
    <x v="0"/>
    <s v="Snacks"/>
    <x v="7"/>
    <n v="9"/>
    <n v="50"/>
    <n v="0"/>
    <n v="5"/>
    <n v="472.5"/>
    <x v="5"/>
    <x v="1"/>
    <x v="1"/>
  </r>
  <r>
    <s v="ORD-1013"/>
    <x v="12"/>
    <s v="Preethi S"/>
    <s v="CUST-013"/>
    <s v="preethis@outlook.com"/>
    <s v="6547374338"/>
    <s v="Pune"/>
    <s v="Maharashtra"/>
    <x v="1"/>
    <s v="PROD-109"/>
    <x v="8"/>
    <x v="2"/>
    <s v="Computer"/>
    <x v="8"/>
    <n v="7"/>
    <n v="55000"/>
    <n v="12"/>
    <n v="18"/>
    <n v="399784"/>
    <x v="5"/>
    <x v="3"/>
    <x v="1"/>
  </r>
  <r>
    <s v="ORD-1014"/>
    <x v="13"/>
    <s v="Amit Singh"/>
    <s v="CUST-014"/>
    <s v="amitsing@yahoo.com"/>
    <s v="6464267175"/>
    <s v="Jaipur"/>
    <s v="Rajasthan"/>
    <x v="2"/>
    <s v="PROD-102"/>
    <x v="9"/>
    <x v="2"/>
    <s v="Mobile"/>
    <x v="9"/>
    <n v="9"/>
    <n v="89000"/>
    <n v="10"/>
    <n v="18"/>
    <n v="850662"/>
    <x v="0"/>
    <x v="3"/>
    <x v="0"/>
  </r>
  <r>
    <s v="ORD-1015"/>
    <x v="14"/>
    <s v="Suresh Babu"/>
    <s v="CUST-015"/>
    <s v="sureshba@outlook.com"/>
    <s v="7140169349"/>
    <s v="Mumbai"/>
    <s v="Maharashtra"/>
    <x v="1"/>
    <s v="PROD-108"/>
    <x v="0"/>
    <x v="0"/>
    <s v="Beverage"/>
    <x v="0"/>
    <n v="4"/>
    <n v="450"/>
    <n v="5"/>
    <n v="5"/>
    <n v="1795.5"/>
    <x v="0"/>
    <x v="0"/>
    <x v="1"/>
  </r>
  <r>
    <s v="ORD-1016"/>
    <x v="15"/>
    <s v="Amit Singh"/>
    <s v="CUST-016"/>
    <s v="amitsing@outlook.com"/>
    <s v="7400944900"/>
    <s v="Bengaluru"/>
    <s v="Karnataka"/>
    <x v="0"/>
    <s v="PROD-112"/>
    <x v="7"/>
    <x v="0"/>
    <s v="Snacks"/>
    <x v="7"/>
    <n v="7"/>
    <n v="50"/>
    <n v="10"/>
    <n v="5"/>
    <n v="330.75"/>
    <x v="1"/>
    <x v="1"/>
    <x v="0"/>
  </r>
  <r>
    <s v="ORD-1017"/>
    <x v="16"/>
    <s v="Geetha Rao"/>
    <s v="CUST-017"/>
    <s v="geethara@yahoo.com"/>
    <s v="8851230518"/>
    <s v="Jaipur"/>
    <s v="Rajasthan"/>
    <x v="2"/>
    <s v="PROD-107"/>
    <x v="10"/>
    <x v="3"/>
    <s v="Clothing"/>
    <x v="10"/>
    <n v="10"/>
    <n v="2500"/>
    <n v="10"/>
    <n v="5"/>
    <n v="23625"/>
    <x v="3"/>
    <x v="3"/>
    <x v="0"/>
  </r>
  <r>
    <s v="ORD-1018"/>
    <x v="17"/>
    <s v="Padma Lakshmi"/>
    <s v="CUST-018"/>
    <s v="padmalak@gmail.com"/>
    <s v="9803044105"/>
    <s v="Lucknow"/>
    <s v="Uttar Pradesh"/>
    <x v="2"/>
    <s v="PROD-125"/>
    <x v="1"/>
    <x v="1"/>
    <s v="Gold"/>
    <x v="1"/>
    <n v="1"/>
    <n v="25000"/>
    <n v="20"/>
    <n v="3"/>
    <n v="20600"/>
    <x v="0"/>
    <x v="3"/>
    <x v="1"/>
  </r>
  <r>
    <s v="ORD-1019"/>
    <x v="18"/>
    <s v="Deepa Krishnan"/>
    <s v="CUST-019"/>
    <s v="deepakri@hotmail.com"/>
    <s v="9607183629"/>
    <s v="Bengaluru"/>
    <s v="Karnataka"/>
    <x v="0"/>
    <s v="PROD-123"/>
    <x v="11"/>
    <x v="4"/>
    <s v="Lighting"/>
    <x v="11"/>
    <n v="8"/>
    <n v="299"/>
    <n v="15"/>
    <n v="18"/>
    <n v="2399.1759999999999"/>
    <x v="5"/>
    <x v="3"/>
    <x v="1"/>
  </r>
  <r>
    <s v="ORD-1020"/>
    <x v="19"/>
    <s v="Anita Verma"/>
    <s v="CUST-020"/>
    <s v="anitaver@hotmail.com"/>
    <s v="8987248494"/>
    <s v="Delhi"/>
    <s v="Delhi"/>
    <x v="2"/>
    <s v="PROD-108"/>
    <x v="0"/>
    <x v="0"/>
    <s v="Beverage"/>
    <x v="0"/>
    <n v="6"/>
    <n v="450"/>
    <n v="8"/>
    <n v="5"/>
    <n v="2608.2000000000003"/>
    <x v="5"/>
    <x v="3"/>
    <x v="1"/>
  </r>
  <r>
    <s v="ORD-1021"/>
    <x v="20"/>
    <s v="Priya Sharma"/>
    <s v="CUST-021"/>
    <s v="priyasha@rediffmail.com"/>
    <s v="Not provided"/>
    <s v="Bengaluru"/>
    <s v="Karnataka"/>
    <x v="0"/>
    <s v="PROD-101"/>
    <x v="12"/>
    <x v="2"/>
    <s v="Television"/>
    <x v="4"/>
    <n v="7"/>
    <n v="35000"/>
    <n v="25"/>
    <n v="18"/>
    <n v="216825"/>
    <x v="2"/>
    <x v="3"/>
    <x v="0"/>
  </r>
  <r>
    <s v="ORD-1022"/>
    <x v="21"/>
    <s v="Geetha Rao"/>
    <s v="CUST-022"/>
    <s v="geethara@outlook.com"/>
    <s v="8799264931"/>
    <s v="Bengaluru"/>
    <s v="Karnataka"/>
    <x v="0"/>
    <s v="PROD-101"/>
    <x v="12"/>
    <x v="2"/>
    <s v="Television"/>
    <x v="4"/>
    <n v="5"/>
    <n v="35000"/>
    <n v="20"/>
    <n v="18"/>
    <n v="165200"/>
    <x v="5"/>
    <x v="3"/>
    <x v="0"/>
  </r>
  <r>
    <s v="ORD-1023"/>
    <x v="22"/>
    <s v="Amit Singh"/>
    <s v="CUST-023"/>
    <s v="amitsing@rediffmail.com"/>
    <s v="7703617827"/>
    <s v="Hydrabad"/>
    <s v="Telangana"/>
    <x v="0"/>
    <s v="PROD-107"/>
    <x v="10"/>
    <x v="3"/>
    <s v="Clothing"/>
    <x v="10"/>
    <n v="2"/>
    <n v="2500"/>
    <n v="8"/>
    <n v="5"/>
    <n v="4830"/>
    <x v="3"/>
    <x v="4"/>
    <x v="1"/>
  </r>
  <r>
    <s v="ORD-1024"/>
    <x v="23"/>
    <s v="Divya Nair"/>
    <s v="CUST-024"/>
    <s v="divyanai@hotmail.com"/>
    <s v="8793693337"/>
    <s v="Delhi"/>
    <s v="Delhi"/>
    <x v="2"/>
    <s v="PROD-121"/>
    <x v="13"/>
    <x v="0"/>
    <s v="Dairy"/>
    <x v="12"/>
    <n v="2"/>
    <n v="280"/>
    <n v="15"/>
    <n v="5"/>
    <n v="499.8"/>
    <x v="3"/>
    <x v="2"/>
    <x v="1"/>
  </r>
  <r>
    <s v="ORD-1025"/>
    <x v="24"/>
    <s v="Anita Verma"/>
    <s v="CUST-025"/>
    <s v="anitaver@outlook.com"/>
    <s v="9780945510"/>
    <s v="Kolkata"/>
    <s v="West Bengal"/>
    <x v="3"/>
    <s v="PROD-118"/>
    <x v="5"/>
    <x v="4"/>
    <s v="Appliance"/>
    <x v="5"/>
    <n v="6"/>
    <n v="12000"/>
    <n v="10"/>
    <n v="18"/>
    <n v="76464"/>
    <x v="1"/>
    <x v="3"/>
    <x v="0"/>
  </r>
  <r>
    <s v="ORD-1026"/>
    <x v="25"/>
    <s v="Dinesh K"/>
    <s v="CUST-026"/>
    <s v="dineshk@rediffmail.com"/>
    <s v="7163577186"/>
    <s v="Surat"/>
    <s v="Gujarat"/>
    <x v="1"/>
    <s v="PROD-117"/>
    <x v="14"/>
    <x v="0"/>
    <s v="Snacks"/>
    <x v="13"/>
    <n v="4"/>
    <n v="40"/>
    <n v="5"/>
    <n v="5"/>
    <n v="159.6"/>
    <x v="2"/>
    <x v="1"/>
    <x v="0"/>
  </r>
  <r>
    <s v="ORD-1027"/>
    <x v="26"/>
    <s v="Sita Devi"/>
    <s v="CUST-027"/>
    <s v="sitadevi@gmail.com"/>
    <s v="6542366274"/>
    <s v="Surat"/>
    <s v="Gujarat"/>
    <x v="1"/>
    <s v="PROD-124"/>
    <x v="6"/>
    <x v="2"/>
    <s v="Audio"/>
    <x v="6"/>
    <n v="3"/>
    <n v="2800"/>
    <n v="12"/>
    <n v="18"/>
    <n v="8722.56"/>
    <x v="1"/>
    <x v="1"/>
    <x v="1"/>
  </r>
  <r>
    <s v="ORD-1028"/>
    <x v="27"/>
    <s v="Nisha Patel"/>
    <s v="CUST-028"/>
    <s v="nishapat@hotmail.com"/>
    <s v="6969318858"/>
    <s v="Bengaluru"/>
    <s v="Karnataka"/>
    <x v="0"/>
    <s v="PROD-119"/>
    <x v="3"/>
    <x v="3"/>
    <s v="Accessories"/>
    <x v="3"/>
    <n v="5"/>
    <n v="3500"/>
    <n v="5"/>
    <n v="18"/>
    <n v="19617.5"/>
    <x v="0"/>
    <x v="4"/>
    <x v="1"/>
  </r>
  <r>
    <s v="ORD-1029"/>
    <x v="28"/>
    <s v="Deepika Rao"/>
    <s v="CUST-029"/>
    <s v="deepikar@rediffmail.com"/>
    <s v="754675132"/>
    <s v="Visakhapatnam"/>
    <s v="Andhra Pradesh"/>
    <x v="0"/>
    <s v="PROD-115"/>
    <x v="2"/>
    <x v="2"/>
    <s v="Mobile"/>
    <x v="2"/>
    <n v="1"/>
    <n v="28000"/>
    <n v="10"/>
    <n v="18"/>
    <n v="29736"/>
    <x v="5"/>
    <x v="2"/>
    <x v="0"/>
  </r>
  <r>
    <s v="ORD-1030"/>
    <x v="29"/>
    <s v="Rahul Gupta"/>
    <s v="CUST-030"/>
    <s v="rahulgup@hotmail.com"/>
    <s v="8120834317"/>
    <s v="Hydrabad"/>
    <s v="Telangana"/>
    <x v="0"/>
    <s v="PROD-108"/>
    <x v="0"/>
    <x v="0"/>
    <s v="Beverage"/>
    <x v="0"/>
    <n v="4"/>
    <n v="450"/>
    <n v="8"/>
    <n v="5"/>
    <n v="1738.8000000000002"/>
    <x v="0"/>
    <x v="4"/>
    <x v="0"/>
  </r>
  <r>
    <s v="ORD-1031"/>
    <x v="30"/>
    <s v="Unknown"/>
    <s v="CUST-031"/>
    <s v="user@hotmail.com"/>
    <s v="7753841726"/>
    <s v="Delhi"/>
    <s v="Delhi"/>
    <x v="2"/>
    <s v="PROD-114"/>
    <x v="15"/>
    <x v="4"/>
    <s v="Kitchen"/>
    <x v="14"/>
    <n v="10"/>
    <n v="3200"/>
    <n v="0"/>
    <n v="18"/>
    <n v="37760"/>
    <x v="3"/>
    <x v="4"/>
    <x v="0"/>
  </r>
  <r>
    <s v="ORD-1032"/>
    <x v="31"/>
    <s v="Preethi S"/>
    <s v="CUST-032"/>
    <s v="preethis@hotmail.com"/>
    <s v="6874275988"/>
    <s v="Lucknow"/>
    <s v="Uttar Pradesh"/>
    <x v="2"/>
    <s v="PROD-106"/>
    <x v="16"/>
    <x v="4"/>
    <s v="Appliance"/>
    <x v="15"/>
    <n v="9"/>
    <n v="42000"/>
    <n v="20"/>
    <n v="18"/>
    <n v="356832"/>
    <x v="3"/>
    <x v="3"/>
    <x v="0"/>
  </r>
  <r>
    <s v="ORD-1033"/>
    <x v="32"/>
    <s v="Anita Verma"/>
    <s v="CUST-033"/>
    <s v="anitaver@outlook.com"/>
    <s v="8028168523"/>
    <s v="Chennai"/>
    <s v="Tamil Nadu"/>
    <x v="0"/>
    <s v="PROD-110"/>
    <x v="17"/>
    <x v="3"/>
    <s v="Traditional"/>
    <x v="16"/>
    <n v="10"/>
    <n v="3500"/>
    <n v="20"/>
    <n v="5"/>
    <n v="29400"/>
    <x v="3"/>
    <x v="2"/>
    <x v="0"/>
  </r>
  <r>
    <s v="ORD-1034"/>
    <x v="33"/>
    <s v="Vijay Patel"/>
    <s v="CUST-034"/>
    <s v="vijaypat@outlook.com"/>
    <s v="7620104855"/>
    <s v="Hydrabad"/>
    <s v="Telangana"/>
    <x v="0"/>
    <s v="PROD-113"/>
    <x v="18"/>
    <x v="3"/>
    <s v="Accessories"/>
    <x v="17"/>
    <n v="2"/>
    <n v="8500"/>
    <n v="12"/>
    <n v="18"/>
    <n v="17652.8"/>
    <x v="0"/>
    <x v="1"/>
    <x v="0"/>
  </r>
  <r>
    <s v="ORD-1035"/>
    <x v="34"/>
    <s v="Rashmi Verma"/>
    <s v="CUST-035"/>
    <s v="rashmive@hotmail.com"/>
    <s v="Not provided"/>
    <s v="Lucknow"/>
    <s v="Uttar Pradesh"/>
    <x v="2"/>
    <s v="PROD-123"/>
    <x v="11"/>
    <x v="4"/>
    <s v="Lighting"/>
    <x v="11"/>
    <n v="6"/>
    <n v="299"/>
    <n v="8"/>
    <n v="18"/>
    <n v="1947.5663999999999"/>
    <x v="0"/>
    <x v="3"/>
    <x v="1"/>
  </r>
  <r>
    <s v="ORD-1036"/>
    <x v="35"/>
    <s v="Suresh Kumar"/>
    <s v="CUST-036"/>
    <s v="sureshku@outlook.com"/>
    <s v="7863893256"/>
    <s v="Bengaluru"/>
    <s v="Karnataka"/>
    <x v="0"/>
    <s v="PROD-105"/>
    <x v="19"/>
    <x v="2"/>
    <s v="Audio"/>
    <x v="18"/>
    <n v="7"/>
    <n v="1500"/>
    <n v="20"/>
    <n v="18"/>
    <n v="9912"/>
    <x v="3"/>
    <x v="2"/>
    <x v="0"/>
  </r>
  <r>
    <s v="ORD-1037"/>
    <x v="32"/>
    <s v="Deepa Krishnan"/>
    <s v="CUST-037"/>
    <s v="deepakri@outlook.com"/>
    <s v="9860782736"/>
    <s v="Bengaluru"/>
    <s v="Karnataka"/>
    <x v="0"/>
    <s v="PROD-123"/>
    <x v="20"/>
    <x v="4"/>
    <s v="Lighting"/>
    <x v="11"/>
    <n v="6"/>
    <n v="299"/>
    <n v="8"/>
    <n v="18"/>
    <n v="1947.5663999999999"/>
    <x v="0"/>
    <x v="0"/>
    <x v="0"/>
  </r>
  <r>
    <s v="ORD-1038"/>
    <x v="36"/>
    <s v="Rashmi Verma"/>
    <s v="CUST-038"/>
    <s v="rashmive@rediffmail.com"/>
    <s v="6210643427"/>
    <s v="Jaipur"/>
    <s v="Rajasthan"/>
    <x v="2"/>
    <s v="PROD-106"/>
    <x v="16"/>
    <x v="4"/>
    <s v="Appliance"/>
    <x v="15"/>
    <n v="7"/>
    <n v="42000"/>
    <n v="25"/>
    <n v="18"/>
    <n v="260190"/>
    <x v="4"/>
    <x v="4"/>
    <x v="0"/>
  </r>
  <r>
    <s v="ORD-1039"/>
    <x v="22"/>
    <s v="Dinesh K"/>
    <s v="CUST-039"/>
    <s v="dineshk@gmail.com"/>
    <s v="7784572192"/>
    <s v="Mumbai"/>
    <s v="Maharashtra"/>
    <x v="1"/>
    <s v="PROD-110"/>
    <x v="17"/>
    <x v="3"/>
    <s v="Traditional"/>
    <x v="16"/>
    <n v="4"/>
    <n v="3500"/>
    <n v="8"/>
    <n v="5"/>
    <n v="13524"/>
    <x v="4"/>
    <x v="3"/>
    <x v="0"/>
  </r>
  <r>
    <s v="ORD-1040"/>
    <x v="37"/>
    <s v="Manish Tiwari"/>
    <s v="CUST-040"/>
    <s v="manishti@hotmail.com"/>
    <s v="Not provided"/>
    <s v="Pune"/>
    <s v="Maharashtra"/>
    <x v="1"/>
    <s v="PROD-118"/>
    <x v="5"/>
    <x v="4"/>
    <s v="Appliance"/>
    <x v="5"/>
    <n v="3"/>
    <n v="12000"/>
    <n v="15"/>
    <n v="18"/>
    <n v="36108"/>
    <x v="0"/>
    <x v="0"/>
    <x v="1"/>
  </r>
  <r>
    <s v="ORD-1041"/>
    <x v="11"/>
    <s v="Mohan Lal"/>
    <s v="CUST-041"/>
    <s v="@"/>
    <s v="6417436465"/>
    <s v="Bengaluru"/>
    <s v="Karnataka"/>
    <x v="0"/>
    <s v="PROD-122"/>
    <x v="21"/>
    <x v="3"/>
    <s v="Travel"/>
    <x v="19"/>
    <n v="6"/>
    <n v="0"/>
    <n v="15"/>
    <n v="18"/>
    <n v="0"/>
    <x v="3"/>
    <x v="4"/>
    <x v="1"/>
  </r>
  <r>
    <s v="ORD-1042"/>
    <x v="38"/>
    <s v="Vijay Patel"/>
    <s v="CUST-042"/>
    <s v="vijaypat@gmail.com"/>
    <s v="9872755741"/>
    <s v="Chennai"/>
    <s v="Tamil Nadu"/>
    <x v="0"/>
    <s v="PROD-115"/>
    <x v="2"/>
    <x v="2"/>
    <s v="Mobile"/>
    <x v="2"/>
    <n v="10"/>
    <n v="28000"/>
    <n v="25"/>
    <n v="18"/>
    <n v="247800"/>
    <x v="1"/>
    <x v="0"/>
    <x v="0"/>
  </r>
  <r>
    <s v="ORD-1043"/>
    <x v="39"/>
    <s v="Aarav Shah"/>
    <s v="CUST-043"/>
    <s v="aaravsha@rediffmail.com"/>
    <s v="Not provided"/>
    <s v="Mumbai"/>
    <s v="Maharashtra"/>
    <x v="1"/>
    <s v="PROD-107"/>
    <x v="10"/>
    <x v="3"/>
    <s v="Clothing"/>
    <x v="10"/>
    <n v="4"/>
    <n v="0"/>
    <n v="10"/>
    <n v="5"/>
    <n v="0"/>
    <x v="5"/>
    <x v="0"/>
    <x v="0"/>
  </r>
  <r>
    <s v="ORD-1044"/>
    <x v="40"/>
    <s v="Suresh Kumar"/>
    <s v="CUST-044"/>
    <s v="sureshku@gmail.com"/>
    <s v="8829967158"/>
    <s v="Chennai"/>
    <s v="Tamil Nadu"/>
    <x v="0"/>
    <s v="PROD-106"/>
    <x v="16"/>
    <x v="4"/>
    <s v="Appliance"/>
    <x v="15"/>
    <n v="1"/>
    <n v="42000"/>
    <n v="20"/>
    <n v="18"/>
    <n v="39648"/>
    <x v="1"/>
    <x v="2"/>
    <x v="1"/>
  </r>
  <r>
    <s v="ORD-1045"/>
    <x v="41"/>
    <s v="Deepika Rao"/>
    <s v="CUST-045"/>
    <s v="deepikar@rediffmail.com"/>
    <s v="6491404673"/>
    <s v="Jaipur"/>
    <s v="Rajasthan"/>
    <x v="2"/>
    <s v="PROD-101"/>
    <x v="12"/>
    <x v="2"/>
    <s v="Television"/>
    <x v="4"/>
    <n v="8"/>
    <n v="35000"/>
    <n v="8"/>
    <n v="18"/>
    <n v="303968"/>
    <x v="5"/>
    <x v="3"/>
    <x v="1"/>
  </r>
  <r>
    <s v="ORD-1046"/>
    <x v="37"/>
    <s v="Kavitha N"/>
    <s v="CUST-046"/>
    <s v="kavithan@rediffmail.com"/>
    <s v="7764409657"/>
    <s v="Pune"/>
    <s v="Maharashtra"/>
    <x v="1"/>
    <s v="PROD-108"/>
    <x v="0"/>
    <x v="0"/>
    <s v="Beverage"/>
    <x v="0"/>
    <n v="6"/>
    <n v="450"/>
    <n v="25"/>
    <n v="5"/>
    <n v="2126.25"/>
    <x v="5"/>
    <x v="3"/>
    <x v="0"/>
  </r>
  <r>
    <s v="ORD-1047"/>
    <x v="42"/>
    <s v="Aarav Shah"/>
    <s v="CUST-047"/>
    <s v="gmail.com"/>
    <s v="7459535801"/>
    <s v="Bengaluru"/>
    <s v="Karnataka"/>
    <x v="0"/>
    <s v="PROD-124"/>
    <x v="6"/>
    <x v="2"/>
    <s v="Audio"/>
    <x v="6"/>
    <n v="9"/>
    <n v="2800"/>
    <n v="15"/>
    <n v="18"/>
    <n v="25275.599999999999"/>
    <x v="0"/>
    <x v="2"/>
    <x v="1"/>
  </r>
  <r>
    <s v="ORD-1048"/>
    <x v="43"/>
    <s v="Aarav Shah"/>
    <s v="CUST-048"/>
    <s v="aaravsha@rediffmail.com"/>
    <s v="Not provided"/>
    <s v="Hydrabad"/>
    <s v="Telangana"/>
    <x v="0"/>
    <s v="PROD-105"/>
    <x v="19"/>
    <x v="2"/>
    <s v="Audio"/>
    <x v="18"/>
    <n v="1"/>
    <n v="1500"/>
    <n v="8"/>
    <n v="18"/>
    <n v="1628.3999999999999"/>
    <x v="0"/>
    <x v="1"/>
    <x v="1"/>
  </r>
  <r>
    <s v="ORD-1049"/>
    <x v="44"/>
    <s v="Rohit Yadav"/>
    <s v="CUST-049"/>
    <s v="rohityad@outlook.com"/>
    <s v="831206151"/>
    <s v="Surat"/>
    <s v="Gujarat"/>
    <x v="1"/>
    <s v="PROD-114"/>
    <x v="15"/>
    <x v="4"/>
    <s v="Kitchen"/>
    <x v="14"/>
    <n v="2"/>
    <n v="3200"/>
    <n v="12"/>
    <n v="18"/>
    <n v="6645.7599999999993"/>
    <x v="1"/>
    <x v="0"/>
    <x v="1"/>
  </r>
  <r>
    <s v="ORD-1050"/>
    <x v="7"/>
    <s v="Manish Tiwari"/>
    <s v="CUST-050"/>
    <s v="manishti@yahoo.com"/>
    <s v="9573524070"/>
    <s v="Chennai"/>
    <s v="Tamil Nadu"/>
    <x v="0"/>
    <s v="PROD-123"/>
    <x v="11"/>
    <x v="4"/>
    <s v="Lighting"/>
    <x v="11"/>
    <n v="7"/>
    <n v="0"/>
    <n v="15"/>
    <n v="18"/>
    <n v="0"/>
    <x v="0"/>
    <x v="4"/>
    <x v="1"/>
  </r>
  <r>
    <s v="ORD-1051"/>
    <x v="45"/>
    <s v="Neha Singh"/>
    <s v="CUST-051"/>
    <s v="nehasing@yahoo.com"/>
    <s v="9260534643"/>
    <s v="Delhi"/>
    <s v="Delhi"/>
    <x v="2"/>
    <s v="PROD-104"/>
    <x v="22"/>
    <x v="4"/>
    <s v="Kitchen"/>
    <x v="20"/>
    <n v="5"/>
    <n v="2200"/>
    <n v="5"/>
    <n v="12"/>
    <n v="11704.000000000002"/>
    <x v="1"/>
    <x v="0"/>
    <x v="0"/>
  </r>
  <r>
    <s v="ORD-1052"/>
    <x v="46"/>
    <s v="Meera Nair"/>
    <s v="CUST-052"/>
    <s v="meeranai@hotmail.com"/>
    <s v="Not provided"/>
    <s v="Kolkata"/>
    <s v="West Bengal"/>
    <x v="3"/>
    <s v="PROD-121"/>
    <x v="13"/>
    <x v="0"/>
    <s v="Dairy"/>
    <x v="12"/>
    <n v="10"/>
    <n v="280"/>
    <n v="15"/>
    <n v="5"/>
    <n v="2499"/>
    <x v="4"/>
    <x v="4"/>
    <x v="0"/>
  </r>
  <r>
    <s v="ORD-1053"/>
    <x v="47"/>
    <s v="Neha Singh"/>
    <s v="CUST-053"/>
    <s v="@yahoo.com"/>
    <s v="8245185702"/>
    <s v="Jaipur"/>
    <s v="Rajasthan"/>
    <x v="2"/>
    <s v="PROD-103"/>
    <x v="23"/>
    <x v="3"/>
    <s v="Footwear"/>
    <x v="21"/>
    <n v="1"/>
    <n v="4500"/>
    <n v="25"/>
    <n v="5"/>
    <n v="3543.75"/>
    <x v="1"/>
    <x v="2"/>
    <x v="1"/>
  </r>
  <r>
    <s v="ORD-1054"/>
    <x v="48"/>
    <s v="Padma Lakshmi"/>
    <s v="CUST-054"/>
    <s v="padmalak@hotmail.com"/>
    <s v="6548870021"/>
    <s v="Kolkata"/>
    <s v="West Bengal"/>
    <x v="3"/>
    <s v="PROD-110"/>
    <x v="17"/>
    <x v="3"/>
    <s v="Traditional"/>
    <x v="16"/>
    <n v="6"/>
    <n v="3500"/>
    <n v="8"/>
    <n v="5"/>
    <n v="20286"/>
    <x v="1"/>
    <x v="4"/>
    <x v="1"/>
  </r>
  <r>
    <s v="ORD-1055"/>
    <x v="15"/>
    <s v="Deepika Rao"/>
    <s v="CUST-055"/>
    <s v="deepikar@rediffmail.com"/>
    <s v="6696846464"/>
    <s v="Delhi"/>
    <s v="Delhi"/>
    <x v="2"/>
    <s v="PROD-114"/>
    <x v="20"/>
    <x v="4"/>
    <s v="Kitchen"/>
    <x v="14"/>
    <n v="6"/>
    <n v="3200"/>
    <n v="5"/>
    <n v="18"/>
    <n v="21523.199999999997"/>
    <x v="5"/>
    <x v="2"/>
    <x v="0"/>
  </r>
  <r>
    <s v="ORD-1056"/>
    <x v="49"/>
    <s v="Manish Tiwari"/>
    <s v="CUST-056"/>
    <s v="manishti@rediffmail.com"/>
    <s v="9508521152"/>
    <s v="Kolkata"/>
    <s v="West Bengal"/>
    <x v="3"/>
    <s v="PROD-106"/>
    <x v="16"/>
    <x v="4"/>
    <s v="Appliance"/>
    <x v="15"/>
    <n v="8"/>
    <n v="42000"/>
    <n v="10"/>
    <n v="18"/>
    <n v="356832"/>
    <x v="0"/>
    <x v="3"/>
    <x v="0"/>
  </r>
  <r>
    <s v="ORD-1057"/>
    <x v="50"/>
    <s v="Divya Nair"/>
    <s v="CUST-057"/>
    <s v="divyanai@outlook.com"/>
    <s v="7610237679"/>
    <s v="Kolkata"/>
    <s v="West Bengal"/>
    <x v="3"/>
    <s v="PROD-109"/>
    <x v="8"/>
    <x v="2"/>
    <s v="Computer"/>
    <x v="8"/>
    <n v="9"/>
    <n v="55000"/>
    <n v="8"/>
    <n v="18"/>
    <n v="537372"/>
    <x v="3"/>
    <x v="3"/>
    <x v="0"/>
  </r>
  <r>
    <s v="ORD-1058"/>
    <x v="51"/>
    <s v="Rekha Pandey"/>
    <s v="CUST-058"/>
    <s v="rekhapan@outlook.com"/>
    <s v="7024089868"/>
    <s v="Hydrabad"/>
    <s v="Telangana"/>
    <x v="0"/>
    <s v="PROD-104"/>
    <x v="22"/>
    <x v="4"/>
    <s v="Kitchen"/>
    <x v="20"/>
    <n v="5"/>
    <n v="2200"/>
    <n v="25"/>
    <n v="12"/>
    <n v="9240"/>
    <x v="4"/>
    <x v="0"/>
    <x v="0"/>
  </r>
  <r>
    <s v="ORD-1059"/>
    <x v="52"/>
    <s v="Manoj Kumar"/>
    <s v="CUST-059"/>
    <s v="manojkum@hotmail.com"/>
    <s v="Not provided"/>
    <s v="Kolkata"/>
    <s v="West Bengal"/>
    <x v="3"/>
    <s v="PROD-104"/>
    <x v="22"/>
    <x v="4"/>
    <s v="Kitchen"/>
    <x v="20"/>
    <n v="10"/>
    <n v="2200"/>
    <n v="10"/>
    <n v="12"/>
    <n v="22176.000000000004"/>
    <x v="5"/>
    <x v="3"/>
    <x v="1"/>
  </r>
  <r>
    <s v="ORD-1060"/>
    <x v="53"/>
    <s v="Suresh Babu"/>
    <s v="CUST-060"/>
    <s v="sureshba@hotmail.com"/>
    <s v="Not provided"/>
    <s v="Kochi"/>
    <s v="Kerala"/>
    <x v="0"/>
    <s v="PROD-101"/>
    <x v="12"/>
    <x v="2"/>
    <s v="Television"/>
    <x v="4"/>
    <n v="2"/>
    <n v="35000"/>
    <n v="15"/>
    <n v="18"/>
    <n v="70210"/>
    <x v="3"/>
    <x v="3"/>
    <x v="0"/>
  </r>
  <r>
    <s v="ORD-1061"/>
    <x v="34"/>
    <s v="Divya Nair"/>
    <s v="CUST-061"/>
    <s v="divyanai@yahoo.com"/>
    <s v="9969883220"/>
    <s v="Mumbai"/>
    <s v="Maharashtra"/>
    <x v="1"/>
    <s v="PROD-102"/>
    <x v="9"/>
    <x v="2"/>
    <s v="Mobile"/>
    <x v="9"/>
    <n v="8"/>
    <n v="89000"/>
    <n v="0"/>
    <n v="18"/>
    <n v="840160"/>
    <x v="1"/>
    <x v="3"/>
    <x v="1"/>
  </r>
  <r>
    <s v="ORD-1062"/>
    <x v="54"/>
    <s v="Deepika Rao"/>
    <s v="CUST-062"/>
    <s v="deepikar@hotmail.com"/>
    <s v="8918046336"/>
    <s v="Surat"/>
    <s v="Gujarat"/>
    <x v="1"/>
    <s v="PROD-124"/>
    <x v="6"/>
    <x v="2"/>
    <s v="Audio"/>
    <x v="6"/>
    <n v="5"/>
    <n v="2800"/>
    <n v="20"/>
    <n v="18"/>
    <n v="13216"/>
    <x v="1"/>
    <x v="1"/>
    <x v="1"/>
  </r>
  <r>
    <s v="ORD-1063"/>
    <x v="55"/>
    <s v="Pooja Iyer"/>
    <s v="CUST-063"/>
    <s v="poojaiye@outlook.com"/>
    <s v="9159699467"/>
    <s v="Hydrabad"/>
    <s v="Telangana"/>
    <x v="0"/>
    <s v="PROD-120"/>
    <x v="4"/>
    <x v="2"/>
    <s v="Mobile"/>
    <x v="4"/>
    <n v="6"/>
    <n v="0"/>
    <n v="25"/>
    <n v="18"/>
    <n v="0"/>
    <x v="0"/>
    <x v="1"/>
    <x v="1"/>
  </r>
  <r>
    <s v="ORD-1064"/>
    <x v="56"/>
    <s v="Manish Tiwari"/>
    <s v="CUST-064"/>
    <s v="manishti@rediffmail.com"/>
    <s v="9656572173"/>
    <s v="Mumbai"/>
    <s v="Maharashtra"/>
    <x v="1"/>
    <s v="PROD-118"/>
    <x v="5"/>
    <x v="4"/>
    <s v="Appliance"/>
    <x v="5"/>
    <n v="10"/>
    <n v="12000"/>
    <n v="5"/>
    <n v="18"/>
    <n v="134520"/>
    <x v="5"/>
    <x v="0"/>
    <x v="0"/>
  </r>
  <r>
    <s v="ORD-1065"/>
    <x v="57"/>
    <s v="Pooja Iyer"/>
    <s v="CUST-065"/>
    <s v="poojaiye@outlook.com"/>
    <s v="8921045865"/>
    <s v="Kolkata"/>
    <s v="West Bengal"/>
    <x v="3"/>
    <s v="PROD-117"/>
    <x v="14"/>
    <x v="0"/>
    <s v="Snacks"/>
    <x v="13"/>
    <n v="1"/>
    <n v="40"/>
    <n v="8"/>
    <n v="5"/>
    <n v="38.640000000000008"/>
    <x v="3"/>
    <x v="2"/>
    <x v="1"/>
  </r>
  <r>
    <s v="ORD-1066"/>
    <x v="58"/>
    <s v="Deepika Rao"/>
    <s v="CUST-066"/>
    <s v="deepikar@rediffmail.com"/>
    <s v="8638949369"/>
    <s v="Kochi"/>
    <s v="Kerala"/>
    <x v="0"/>
    <s v="PROD-125"/>
    <x v="1"/>
    <x v="1"/>
    <s v="Gold"/>
    <x v="1"/>
    <n v="9"/>
    <n v="25000"/>
    <n v="8"/>
    <n v="3"/>
    <n v="213210"/>
    <x v="5"/>
    <x v="4"/>
    <x v="1"/>
  </r>
  <r>
    <s v="ORD-1067"/>
    <x v="35"/>
    <s v="Mohan Lal"/>
    <s v="CUST-067"/>
    <s v="mohanlal@rediffmail.com"/>
    <s v="8074232200"/>
    <s v="Delhi"/>
    <s v="Delhi"/>
    <x v="2"/>
    <s v="PROD-106"/>
    <x v="16"/>
    <x v="4"/>
    <s v="Appliance"/>
    <x v="15"/>
    <n v="10"/>
    <n v="42000"/>
    <n v="5"/>
    <n v="18"/>
    <n v="470820"/>
    <x v="2"/>
    <x v="0"/>
    <x v="1"/>
  </r>
  <r>
    <s v="ORD-1068"/>
    <x v="59"/>
    <s v="Vijay Patel"/>
    <s v="CUST-068"/>
    <s v="vijaypat@hotmail.com"/>
    <s v="7246451043"/>
    <s v="Visakhapatnam"/>
    <s v="Andhra Pradesh"/>
    <x v="0"/>
    <s v="PROD-103"/>
    <x v="23"/>
    <x v="3"/>
    <s v="Footwear"/>
    <x v="21"/>
    <n v="6"/>
    <n v="4500"/>
    <n v="15"/>
    <n v="5"/>
    <n v="24097.5"/>
    <x v="5"/>
    <x v="2"/>
    <x v="0"/>
  </r>
  <r>
    <s v="ORD-1069"/>
    <x v="60"/>
    <s v="Suresh Babu"/>
    <s v="CUST-069"/>
    <s v="sureshba@rediffmail.com"/>
    <s v="8021155136"/>
    <s v="Kolkata"/>
    <s v="West Bengal"/>
    <x v="3"/>
    <s v="PROD-106"/>
    <x v="16"/>
    <x v="4"/>
    <s v="Appliance"/>
    <x v="15"/>
    <n v="3"/>
    <n v="42000"/>
    <n v="0"/>
    <n v="18"/>
    <n v="148680"/>
    <x v="0"/>
    <x v="0"/>
    <x v="0"/>
  </r>
  <r>
    <s v="ORD-1070"/>
    <x v="5"/>
    <s v="Rahul Gupta"/>
    <s v="CUST-070"/>
    <s v="rahulgup@outlook.com"/>
    <s v="6619623590"/>
    <s v="Chennai"/>
    <s v="Tamil Nadu"/>
    <x v="0"/>
    <s v="PROD-114"/>
    <x v="15"/>
    <x v="4"/>
    <s v="Kitchen"/>
    <x v="14"/>
    <n v="1"/>
    <n v="3200"/>
    <n v="5"/>
    <n v="18"/>
    <n v="3587.2"/>
    <x v="0"/>
    <x v="0"/>
    <x v="1"/>
  </r>
  <r>
    <s v="ORD-1071"/>
    <x v="4"/>
    <s v="Divya Nair"/>
    <s v="CUST-071"/>
    <s v="divyanai@outlook.com"/>
    <s v="777832901"/>
    <s v="Kolkata"/>
    <s v="West Bengal"/>
    <x v="3"/>
    <s v="PROD-117"/>
    <x v="14"/>
    <x v="0"/>
    <s v="Snacks"/>
    <x v="13"/>
    <n v="9"/>
    <n v="40"/>
    <n v="15"/>
    <n v="5"/>
    <n v="321.3"/>
    <x v="4"/>
    <x v="1"/>
    <x v="0"/>
  </r>
  <r>
    <s v="ORD-1072"/>
    <x v="34"/>
    <s v="Arjun Mehta"/>
    <s v="CUST-072"/>
    <s v="arjunmeh@hotmail.com"/>
    <s v="9328480679"/>
    <s v="Bengaluru"/>
    <s v="Karnataka"/>
    <x v="0"/>
    <s v="PROD-124"/>
    <x v="6"/>
    <x v="2"/>
    <s v="Audio"/>
    <x v="6"/>
    <n v="10"/>
    <n v="2800"/>
    <n v="20"/>
    <n v="18"/>
    <n v="26432"/>
    <x v="5"/>
    <x v="0"/>
    <x v="0"/>
  </r>
  <r>
    <s v="ORD-1073"/>
    <x v="61"/>
    <s v="Padma Lakshmi"/>
    <s v="CUST-073"/>
    <s v="padmalak@yahoo.com"/>
    <s v="7278244804"/>
    <s v="Mumbai"/>
    <s v="Maharashtra"/>
    <x v="1"/>
    <s v="PROD-124"/>
    <x v="6"/>
    <x v="2"/>
    <s v="Audio"/>
    <x v="6"/>
    <n v="8"/>
    <n v="2800"/>
    <n v="15"/>
    <n v="18"/>
    <n v="22467.199999999997"/>
    <x v="2"/>
    <x v="0"/>
    <x v="1"/>
  </r>
  <r>
    <s v="ORD-1074"/>
    <x v="62"/>
    <s v="Rahul Gupta"/>
    <s v="CUST-074"/>
    <s v="rahulgup@outlook.com"/>
    <s v="9556025499"/>
    <s v="Pune"/>
    <s v="Maharashtra"/>
    <x v="1"/>
    <s v="PROD-116"/>
    <x v="24"/>
    <x v="3"/>
    <s v="Clothing"/>
    <x v="22"/>
    <n v="5"/>
    <n v="1200"/>
    <n v="20"/>
    <n v="5"/>
    <n v="5040"/>
    <x v="4"/>
    <x v="3"/>
    <x v="1"/>
  </r>
  <r>
    <s v="ORD-1075"/>
    <x v="63"/>
    <s v="Mohan Lal"/>
    <s v="CUST-075"/>
    <s v="mohanlal@hotmail.com"/>
    <s v="7233708056"/>
    <s v="Surat"/>
    <s v="Gujarat"/>
    <x v="1"/>
    <s v="PROD-123"/>
    <x v="11"/>
    <x v="4"/>
    <s v="Lighting"/>
    <x v="11"/>
    <n v="1"/>
    <n v="299"/>
    <n v="20"/>
    <n v="18"/>
    <n v="282.25600000000003"/>
    <x v="3"/>
    <x v="3"/>
    <x v="1"/>
  </r>
  <r>
    <s v="ORD-1076"/>
    <x v="64"/>
    <s v="Kiran Kumar"/>
    <s v="CUST-076"/>
    <s v="kirankum@outlook.com"/>
    <s v="8333457812"/>
    <s v="Jaipur"/>
    <s v="Rajasthan"/>
    <x v="2"/>
    <s v="PROD-125"/>
    <x v="1"/>
    <x v="1"/>
    <s v="Gold"/>
    <x v="1"/>
    <n v="1"/>
    <n v="25000"/>
    <n v="0"/>
    <n v="3"/>
    <n v="25750"/>
    <x v="4"/>
    <x v="3"/>
    <x v="0"/>
  </r>
  <r>
    <s v="ORD-1077"/>
    <x v="65"/>
    <s v="Deepika Rao"/>
    <s v="CUST-077"/>
    <s v="deepikar@gmail.com"/>
    <s v="7389858576"/>
    <s v="Mumbai"/>
    <s v="Maharashtra"/>
    <x v="1"/>
    <s v="PROD-105"/>
    <x v="19"/>
    <x v="2"/>
    <s v="Audio"/>
    <x v="18"/>
    <n v="3"/>
    <n v="1500"/>
    <n v="15"/>
    <n v="18"/>
    <n v="4513.5"/>
    <x v="3"/>
    <x v="1"/>
    <x v="1"/>
  </r>
  <r>
    <s v="ORD-1078"/>
    <x v="66"/>
    <s v="Vijay Patel"/>
    <s v="CUST-078"/>
    <s v="vijaypat@yahoo.com"/>
    <s v="8601628976"/>
    <s v="Hydrabad"/>
    <s v="Telangana"/>
    <x v="0"/>
    <s v="PROD-108"/>
    <x v="0"/>
    <x v="0"/>
    <s v="Beverage"/>
    <x v="0"/>
    <n v="1"/>
    <n v="450"/>
    <n v="12"/>
    <n v="5"/>
    <n v="415.8"/>
    <x v="4"/>
    <x v="2"/>
    <x v="1"/>
  </r>
  <r>
    <s v="ORD-1079"/>
    <x v="33"/>
    <s v="Neha Singh"/>
    <s v="CUST-079"/>
    <s v="nehasing@rediffmail.com"/>
    <s v="9079139213"/>
    <s v="Bengaluru"/>
    <s v="Karnataka"/>
    <x v="0"/>
    <s v="PROD-116"/>
    <x v="24"/>
    <x v="3"/>
    <s v="Clothing"/>
    <x v="22"/>
    <n v="10"/>
    <n v="1200"/>
    <n v="5"/>
    <n v="5"/>
    <n v="11970"/>
    <x v="5"/>
    <x v="0"/>
    <x v="1"/>
  </r>
  <r>
    <s v="ORD-1080"/>
    <x v="67"/>
    <s v="Saranya M"/>
    <s v="CUST-080"/>
    <s v="saranyam@gmail.com"/>
    <s v="8027530378"/>
    <s v="Mumbai"/>
    <s v="Maharashtra"/>
    <x v="1"/>
    <s v="PROD-117"/>
    <x v="14"/>
    <x v="0"/>
    <s v="Snacks"/>
    <x v="13"/>
    <n v="10"/>
    <n v="40"/>
    <n v="20"/>
    <n v="5"/>
    <n v="336"/>
    <x v="5"/>
    <x v="3"/>
    <x v="1"/>
  </r>
  <r>
    <s v="ORD-1081"/>
    <x v="68"/>
    <s v="Amit Singh"/>
    <s v="CUST-081"/>
    <s v="amitsing@hotmail.com"/>
    <s v="6956447193"/>
    <s v="Jaipur"/>
    <s v="Rajasthan"/>
    <x v="2"/>
    <s v="PROD-125"/>
    <x v="1"/>
    <x v="1"/>
    <s v="Gold"/>
    <x v="1"/>
    <n v="6"/>
    <n v="25000"/>
    <n v="20"/>
    <n v="3"/>
    <n v="123600"/>
    <x v="3"/>
    <x v="0"/>
    <x v="0"/>
  </r>
  <r>
    <s v="ORD-1082"/>
    <x v="69"/>
    <s v="Ravi Kumar"/>
    <s v="CUST-082"/>
    <s v="ravikuma@hotmail.com"/>
    <s v="6209063208"/>
    <s v="Hydrabad"/>
    <s v="Telangana"/>
    <x v="0"/>
    <s v="PROD-115"/>
    <x v="2"/>
    <x v="2"/>
    <s v="Mobile"/>
    <x v="2"/>
    <n v="4"/>
    <n v="28000"/>
    <n v="5"/>
    <n v="18"/>
    <n v="125552"/>
    <x v="1"/>
    <x v="0"/>
    <x v="0"/>
  </r>
  <r>
    <s v="ORD-1083"/>
    <x v="64"/>
    <s v="Vijay Patel"/>
    <s v="CUST-083"/>
    <s v="ravi@"/>
    <s v="8688620050"/>
    <s v="Mumbai"/>
    <s v="Maharashtra"/>
    <x v="1"/>
    <s v="PROD-108"/>
    <x v="0"/>
    <x v="0"/>
    <s v="Beverage"/>
    <x v="0"/>
    <n v="5"/>
    <n v="450"/>
    <n v="15"/>
    <n v="5"/>
    <n v="2008.125"/>
    <x v="5"/>
    <x v="0"/>
    <x v="1"/>
  </r>
  <r>
    <s v="ORD-1084"/>
    <x v="70"/>
    <s v="Swati Gupta"/>
    <s v="CUST-084"/>
    <s v="swatigup@yahoo.com"/>
    <s v="7418468740"/>
    <s v="Chennai"/>
    <s v="Tamil Nadu"/>
    <x v="0"/>
    <s v="PROD-112"/>
    <x v="7"/>
    <x v="0"/>
    <s v="Snacks"/>
    <x v="7"/>
    <n v="7"/>
    <n v="50"/>
    <n v="10"/>
    <n v="5"/>
    <n v="330.75"/>
    <x v="3"/>
    <x v="3"/>
    <x v="1"/>
  </r>
  <r>
    <s v="ORD-1085"/>
    <x v="68"/>
    <s v="Rohit Yadav"/>
    <s v="CUST-085"/>
    <s v="rohityad@rediffmail.com"/>
    <s v="7027918636"/>
    <s v="Hydrabad"/>
    <s v="Telangana"/>
    <x v="0"/>
    <s v="PROD-103"/>
    <x v="23"/>
    <x v="3"/>
    <s v="Footwear"/>
    <x v="21"/>
    <n v="10"/>
    <n v="4500"/>
    <n v="10"/>
    <n v="5"/>
    <n v="42525"/>
    <x v="1"/>
    <x v="0"/>
    <x v="0"/>
  </r>
  <r>
    <s v="ORD-1086"/>
    <x v="71"/>
    <s v="Kavitha N"/>
    <s v="CUST-086"/>
    <s v="kavithan@rediffmail.com"/>
    <s v="6654602021"/>
    <s v="Lucknow"/>
    <s v="Uttar Pradesh"/>
    <x v="2"/>
    <s v="PROD-113"/>
    <x v="18"/>
    <x v="3"/>
    <s v="Accessories"/>
    <x v="17"/>
    <n v="8"/>
    <n v="8500"/>
    <n v="15"/>
    <n v="18"/>
    <n v="68204"/>
    <x v="0"/>
    <x v="0"/>
    <x v="0"/>
  </r>
  <r>
    <s v="ORD-1087"/>
    <x v="21"/>
    <s v="Divya Nair"/>
    <s v="CUST-087"/>
    <s v="divyanai@gmail.com"/>
    <s v="9282810353"/>
    <s v="Lucknow"/>
    <s v="Uttar Pradesh"/>
    <x v="2"/>
    <s v="PROD-119"/>
    <x v="3"/>
    <x v="3"/>
    <s v="Accessories"/>
    <x v="3"/>
    <n v="5"/>
    <n v="3500"/>
    <n v="25"/>
    <n v="18"/>
    <n v="15487.5"/>
    <x v="5"/>
    <x v="3"/>
    <x v="0"/>
  </r>
  <r>
    <s v="ORD-1088"/>
    <x v="72"/>
    <s v="Unknown"/>
    <s v="CUST-088"/>
    <s v="user@hotmail.com"/>
    <s v="6459632043"/>
    <s v="Bengaluru"/>
    <s v="Karnataka"/>
    <x v="0"/>
    <s v="PROD-121"/>
    <x v="13"/>
    <x v="0"/>
    <s v="Dairy"/>
    <x v="12"/>
    <n v="6"/>
    <n v="280"/>
    <n v="80"/>
    <n v="5"/>
    <n v="352.79999999999995"/>
    <x v="5"/>
    <x v="4"/>
    <x v="1"/>
  </r>
  <r>
    <s v="ORD-1089"/>
    <x v="7"/>
    <s v="Deepa Krishnan"/>
    <s v="CUST-089"/>
    <s v="deepakri@hotmail.com"/>
    <s v="692010856"/>
    <s v="Delhi"/>
    <s v="Delhi"/>
    <x v="2"/>
    <s v="PROD-107"/>
    <x v="10"/>
    <x v="3"/>
    <s v="Clothing"/>
    <x v="10"/>
    <n v="2"/>
    <n v="2500"/>
    <n v="10"/>
    <n v="5"/>
    <n v="4725"/>
    <x v="2"/>
    <x v="3"/>
    <x v="1"/>
  </r>
  <r>
    <s v="ORD-1090"/>
    <x v="73"/>
    <s v="Rohit Yadav"/>
    <s v="CUST-090"/>
    <s v="@gmail"/>
    <s v="9061072141"/>
    <s v="Mumbai"/>
    <s v="Maharashtra"/>
    <x v="1"/>
    <s v="PROD-121"/>
    <x v="13"/>
    <x v="0"/>
    <s v="Dairy"/>
    <x v="12"/>
    <n v="9"/>
    <n v="280"/>
    <n v="25"/>
    <n v="5"/>
    <n v="1984.5"/>
    <x v="4"/>
    <x v="2"/>
    <x v="0"/>
  </r>
  <r>
    <s v="ORD-1091"/>
    <x v="74"/>
    <s v="Geetha Rao"/>
    <s v="CUST-091"/>
    <s v="geethara@outlook.com"/>
    <s v="Not provided"/>
    <s v="Delhi"/>
    <s v="Delhi"/>
    <x v="2"/>
    <s v="PROD-119"/>
    <x v="3"/>
    <x v="3"/>
    <s v="Accessories"/>
    <x v="3"/>
    <n v="6"/>
    <n v="3500"/>
    <n v="5"/>
    <n v="18"/>
    <n v="23541"/>
    <x v="0"/>
    <x v="0"/>
    <x v="1"/>
  </r>
  <r>
    <s v="ORD-1092"/>
    <x v="23"/>
    <s v="Anita Verma"/>
    <s v="CUST-092"/>
    <s v="anitaver@outlook.com"/>
    <s v="6439080604"/>
    <s v="Hydrabad"/>
    <s v="Telangana"/>
    <x v="0"/>
    <s v="PROD-112"/>
    <x v="7"/>
    <x v="0"/>
    <s v="Snacks"/>
    <x v="7"/>
    <n v="7"/>
    <n v="50"/>
    <n v="5"/>
    <n v="5"/>
    <n v="349.125"/>
    <x v="3"/>
    <x v="3"/>
    <x v="0"/>
  </r>
  <r>
    <s v="ORD-1093"/>
    <x v="75"/>
    <s v="Kavya Rao"/>
    <s v="CUST-093"/>
    <s v="kavyarao@outlook.com"/>
    <s v="6271730355"/>
    <s v="Delhi"/>
    <s v="Delhi"/>
    <x v="2"/>
    <s v="PROD-115"/>
    <x v="2"/>
    <x v="2"/>
    <s v="Mobile"/>
    <x v="2"/>
    <n v="9"/>
    <n v="28000"/>
    <n v="12"/>
    <n v="18"/>
    <n v="261676.79999999999"/>
    <x v="5"/>
    <x v="0"/>
    <x v="1"/>
  </r>
  <r>
    <s v="ORD-1094"/>
    <x v="76"/>
    <s v="Pooja Iyer"/>
    <s v="CUST-094"/>
    <s v="poojaiye@rediffmail.com"/>
    <s v="7349406919"/>
    <s v="Bengaluru"/>
    <s v="Karnataka"/>
    <x v="0"/>
    <s v="PROD-110"/>
    <x v="17"/>
    <x v="3"/>
    <s v="Traditional"/>
    <x v="16"/>
    <n v="8"/>
    <n v="3500"/>
    <n v="20"/>
    <n v="5"/>
    <n v="23520"/>
    <x v="1"/>
    <x v="3"/>
    <x v="0"/>
  </r>
  <r>
    <s v="ORD-1095"/>
    <x v="77"/>
    <s v="Manish Tiwari"/>
    <s v="CUST-095"/>
    <s v="manishti@gmail.com"/>
    <s v="7757249751"/>
    <s v="Visakhapatnam"/>
    <s v="Andhra Pradesh"/>
    <x v="0"/>
    <s v="PROD-110"/>
    <x v="17"/>
    <x v="3"/>
    <s v="Traditional"/>
    <x v="16"/>
    <n v="6"/>
    <n v="3500"/>
    <n v="10"/>
    <n v="5"/>
    <n v="19845"/>
    <x v="5"/>
    <x v="3"/>
    <x v="0"/>
  </r>
  <r>
    <s v="ORD-1096"/>
    <x v="78"/>
    <s v="Nisha Patel"/>
    <s v="CUST-096"/>
    <s v="nishapat@outlook.com"/>
    <s v="8419012709"/>
    <s v="Chennai"/>
    <s v="Tamil Nadu"/>
    <x v="0"/>
    <s v="PROD-108"/>
    <x v="0"/>
    <x v="0"/>
    <s v="Beverage"/>
    <x v="0"/>
    <n v="8"/>
    <n v="450"/>
    <n v="20"/>
    <n v="5"/>
    <n v="3024"/>
    <x v="5"/>
    <x v="1"/>
    <x v="1"/>
  </r>
  <r>
    <s v="ORD-1097"/>
    <x v="79"/>
    <s v="Geetha Rao"/>
    <s v="CUST-097"/>
    <s v="geethara@hotmail.com"/>
    <s v="7495938377"/>
    <s v="Lucknow"/>
    <s v="Uttar Pradesh"/>
    <x v="2"/>
    <s v="PROD-114"/>
    <x v="15"/>
    <x v="4"/>
    <s v="Kitchen"/>
    <x v="14"/>
    <n v="9"/>
    <n v="3200"/>
    <n v="8"/>
    <n v="18"/>
    <n v="31265.279999999999"/>
    <x v="0"/>
    <x v="2"/>
    <x v="1"/>
  </r>
  <r>
    <s v="ORD-1098"/>
    <x v="7"/>
    <s v="Venkat Reddy"/>
    <s v="CUST-098"/>
    <s v="venkatre@hotmail.com"/>
    <s v="9792874364"/>
    <s v="Bengaluru"/>
    <s v="Karnataka"/>
    <x v="0"/>
    <s v="PROD-123"/>
    <x v="11"/>
    <x v="4"/>
    <s v="Lighting"/>
    <x v="11"/>
    <n v="1"/>
    <n v="299"/>
    <n v="10"/>
    <n v="18"/>
    <n v="317.53800000000001"/>
    <x v="0"/>
    <x v="3"/>
    <x v="0"/>
  </r>
  <r>
    <s v="ORD-1099"/>
    <x v="41"/>
    <s v="Divya Nair"/>
    <s v="CUST-099"/>
    <s v="divyanai@rediffmail.com"/>
    <s v="7966496239"/>
    <s v="Hydrabad"/>
    <s v="Telangana"/>
    <x v="0"/>
    <s v="PROD-113"/>
    <x v="18"/>
    <x v="2"/>
    <s v="Accessories"/>
    <x v="17"/>
    <n v="2"/>
    <n v="8500"/>
    <n v="10"/>
    <n v="18"/>
    <n v="18054"/>
    <x v="5"/>
    <x v="0"/>
    <x v="0"/>
  </r>
  <r>
    <s v="ORD-1100"/>
    <x v="80"/>
    <s v="Padma Lakshmi"/>
    <s v="CUST-100"/>
    <s v="padmalak@hotmail.com"/>
    <s v="9616298963"/>
    <s v="Kolkata"/>
    <s v="West Bengal"/>
    <x v="3"/>
    <s v="PROD-123"/>
    <x v="11"/>
    <x v="4"/>
    <s v="Lighting"/>
    <x v="11"/>
    <n v="6"/>
    <n v="299"/>
    <n v="20"/>
    <n v="18"/>
    <n v="1693.5360000000001"/>
    <x v="3"/>
    <x v="3"/>
    <x v="1"/>
  </r>
  <r>
    <s v="ORD-1101"/>
    <x v="81"/>
    <s v="Prasad P"/>
    <s v="CUST-101"/>
    <s v="prasadp@hotmail.com"/>
    <s v="8127354612"/>
    <s v="Kolkata"/>
    <s v="West Bengal"/>
    <x v="3"/>
    <s v="PROD-101"/>
    <x v="12"/>
    <x v="2"/>
    <s v="Television"/>
    <x v="4"/>
    <n v="8"/>
    <n v="35000"/>
    <n v="8"/>
    <n v="18"/>
    <n v="303968"/>
    <x v="4"/>
    <x v="3"/>
    <x v="1"/>
  </r>
  <r>
    <s v="ORD-1102"/>
    <x v="68"/>
    <s v="Kavitha N"/>
    <s v="CUST-102"/>
    <s v="kavithan@rediffmail.com"/>
    <s v="8621054475"/>
    <s v="Delhi"/>
    <s v="Delhi"/>
    <x v="2"/>
    <s v="PROD-104"/>
    <x v="22"/>
    <x v="4"/>
    <s v="Kitchen"/>
    <x v="20"/>
    <n v="1"/>
    <n v="2200"/>
    <n v="10"/>
    <n v="12"/>
    <n v="2217.6000000000004"/>
    <x v="1"/>
    <x v="2"/>
    <x v="0"/>
  </r>
  <r>
    <s v="ORD-1103"/>
    <x v="19"/>
    <s v="Swati Gupta"/>
    <s v="CUST-103"/>
    <s v="swatigup@yahoo.com"/>
    <s v="6628110811"/>
    <s v="Kolkata"/>
    <s v="West Bengal"/>
    <x v="3"/>
    <s v="PROD-107"/>
    <x v="10"/>
    <x v="3"/>
    <s v="Clothing"/>
    <x v="10"/>
    <n v="10"/>
    <n v="2500"/>
    <n v="12"/>
    <n v="5"/>
    <n v="23100"/>
    <x v="5"/>
    <x v="1"/>
    <x v="1"/>
  </r>
  <r>
    <s v="ORD-1104"/>
    <x v="3"/>
    <s v="Kiran Kumar"/>
    <s v="CUST-104"/>
    <s v="kirankum@outlook.com"/>
    <s v="7708176663"/>
    <s v="Ahmedabad"/>
    <s v="Gujarat"/>
    <x v="1"/>
    <s v="PROD-122"/>
    <x v="21"/>
    <x v="3"/>
    <s v="Travel"/>
    <x v="19"/>
    <n v="7"/>
    <n v="4800"/>
    <n v="12"/>
    <n v="18"/>
    <n v="34890.239999999998"/>
    <x v="3"/>
    <x v="3"/>
    <x v="0"/>
  </r>
  <r>
    <s v="ORD-1105"/>
    <x v="82"/>
    <s v="Sanjay Shah"/>
    <s v="CUST-105"/>
    <s v="sanjaysh@hotmail.com"/>
    <s v="6566562369"/>
    <s v="Bengaluru"/>
    <s v="Karnataka"/>
    <x v="0"/>
    <s v="PROD-116"/>
    <x v="24"/>
    <x v="3"/>
    <s v="Clothing"/>
    <x v="22"/>
    <n v="10"/>
    <n v="1200"/>
    <n v="0"/>
    <n v="5"/>
    <n v="12600"/>
    <x v="5"/>
    <x v="1"/>
    <x v="0"/>
  </r>
  <r>
    <s v="ORD-1106"/>
    <x v="83"/>
    <s v="Sita Devi"/>
    <s v="CUST-106"/>
    <s v="@yahoo.com"/>
    <s v="9695133408"/>
    <s v="Kolkata"/>
    <s v="West Bengal"/>
    <x v="3"/>
    <s v="PROD-109"/>
    <x v="8"/>
    <x v="2"/>
    <s v="Computer"/>
    <x v="8"/>
    <n v="3"/>
    <n v="55000"/>
    <n v="20"/>
    <n v="18"/>
    <n v="155760"/>
    <x v="3"/>
    <x v="1"/>
    <x v="0"/>
  </r>
  <r>
    <s v="ORD-1107"/>
    <x v="44"/>
    <s v="Swati Gupta"/>
    <s v="CUST-107"/>
    <s v="swatigup@rediffmail.com"/>
    <s v="6372322246"/>
    <s v="Chennai"/>
    <s v="Tamil Nadu"/>
    <x v="0"/>
    <s v="PROD-108"/>
    <x v="0"/>
    <x v="0"/>
    <s v="Beverage"/>
    <x v="0"/>
    <n v="5"/>
    <n v="450"/>
    <n v="8"/>
    <n v="5"/>
    <n v="2173.5"/>
    <x v="3"/>
    <x v="3"/>
    <x v="0"/>
  </r>
  <r>
    <s v="ORD-1108"/>
    <x v="83"/>
    <s v="Deepa Krishnan"/>
    <s v="CUST-108"/>
    <s v="deepakri@outlook.com"/>
    <s v="9409250682"/>
    <s v="Chennai"/>
    <s v="Tamil Nadu"/>
    <x v="0"/>
    <s v="PROD-119"/>
    <x v="3"/>
    <x v="3"/>
    <s v="Accessories"/>
    <x v="3"/>
    <n v="4"/>
    <n v="3500"/>
    <n v="12"/>
    <n v="18"/>
    <n v="14537.599999999999"/>
    <x v="2"/>
    <x v="4"/>
    <x v="0"/>
  </r>
  <r>
    <s v="ORD-1109"/>
    <x v="26"/>
    <s v="Vijay Patel"/>
    <s v="CUST-109"/>
    <s v="vijaypat@gmail.com"/>
    <s v="7230455714"/>
    <s v="Mumbai"/>
    <s v="Maharashtra"/>
    <x v="1"/>
    <s v="PROD-108"/>
    <x v="0"/>
    <x v="0"/>
    <s v="Beverage"/>
    <x v="0"/>
    <n v="6"/>
    <n v="450"/>
    <n v="15"/>
    <n v="5"/>
    <n v="2409.75"/>
    <x v="5"/>
    <x v="3"/>
    <x v="1"/>
  </r>
  <r>
    <s v="ORD-1110"/>
    <x v="84"/>
    <s v="Arun Sharma"/>
    <s v="CUST-110"/>
    <s v="arunshar@yahoo.com"/>
    <s v="7866092821"/>
    <s v="Bengaluru"/>
    <s v="Karnataka"/>
    <x v="0"/>
    <s v="PROD-113"/>
    <x v="18"/>
    <x v="3"/>
    <s v="Accessories"/>
    <x v="17"/>
    <n v="5"/>
    <n v="8500"/>
    <n v="15"/>
    <n v="18"/>
    <n v="42627.5"/>
    <x v="2"/>
    <x v="0"/>
    <x v="1"/>
  </r>
  <r>
    <s v="ORD-1111"/>
    <x v="13"/>
    <s v="Arjun Mehta"/>
    <s v="CUST-111"/>
    <s v="arjunmeh@gmail.com"/>
    <s v="8695232998"/>
    <s v="Hydrabad"/>
    <s v="Telangana"/>
    <x v="0"/>
    <s v="PROD-102"/>
    <x v="9"/>
    <x v="2"/>
    <s v="Mobile"/>
    <x v="9"/>
    <n v="3"/>
    <n v="89000"/>
    <n v="12"/>
    <n v="18"/>
    <n v="277252.8"/>
    <x v="4"/>
    <x v="2"/>
    <x v="0"/>
  </r>
  <r>
    <s v="ORD-1112"/>
    <x v="33"/>
    <s v="Meera Nair"/>
    <s v="CUST-112"/>
    <s v="meeranai@gmail.com"/>
    <s v="9181135507"/>
    <s v="Mumbai"/>
    <s v="Maharashtra"/>
    <x v="1"/>
    <s v="PROD-112"/>
    <x v="7"/>
    <x v="0"/>
    <s v="Snacks"/>
    <x v="7"/>
    <n v="2"/>
    <n v="50"/>
    <n v="0"/>
    <n v="5"/>
    <n v="105"/>
    <x v="3"/>
    <x v="3"/>
    <x v="1"/>
  </r>
  <r>
    <s v="ORD-1113"/>
    <x v="85"/>
    <s v="Manoj Kumar"/>
    <s v="CUST-113"/>
    <s v="@gmail"/>
    <s v="9176454660"/>
    <s v="Ahmedabad"/>
    <s v="Gujarat"/>
    <x v="1"/>
    <s v="PROD-114"/>
    <x v="15"/>
    <x v="4"/>
    <s v="Kitchen"/>
    <x v="14"/>
    <n v="2"/>
    <n v="3200"/>
    <n v="0"/>
    <n v="18"/>
    <n v="7552"/>
    <x v="4"/>
    <x v="4"/>
    <x v="0"/>
  </r>
  <r>
    <s v="ORD-1114"/>
    <x v="36"/>
    <s v="Padma Lakshmi"/>
    <s v="CUST-114"/>
    <s v="padmalak@outlook.com"/>
    <s v="7022922016"/>
    <s v="Ahmedabad"/>
    <s v="Gujarat"/>
    <x v="1"/>
    <s v="PROD-119"/>
    <x v="3"/>
    <x v="3"/>
    <s v="Accessories"/>
    <x v="3"/>
    <n v="9"/>
    <n v="0"/>
    <n v="10"/>
    <n v="18"/>
    <n v="0"/>
    <x v="1"/>
    <x v="3"/>
    <x v="0"/>
  </r>
  <r>
    <s v="ORD-1115"/>
    <x v="86"/>
    <s v="Manoj Kumar"/>
    <s v="CUST-115"/>
    <s v="manojkum@outlook.com"/>
    <s v="7687718878"/>
    <s v="Mumbai"/>
    <s v="Maharashtra"/>
    <x v="1"/>
    <s v="PROD-105"/>
    <x v="19"/>
    <x v="2"/>
    <s v="Audio"/>
    <x v="18"/>
    <n v="9"/>
    <n v="1500"/>
    <n v="5"/>
    <n v="18"/>
    <n v="15133.5"/>
    <x v="0"/>
    <x v="1"/>
    <x v="0"/>
  </r>
  <r>
    <s v="ORD-1116"/>
    <x v="63"/>
    <s v="Kiran Kumar"/>
    <s v="CUST-116"/>
    <s v="kirankum@rediffmail.com"/>
    <s v="Not provided"/>
    <s v="Lucknow"/>
    <s v="Uttar Pradesh"/>
    <x v="2"/>
    <s v="PROD-108"/>
    <x v="0"/>
    <x v="0"/>
    <s v="Beverage"/>
    <x v="0"/>
    <n v="3"/>
    <n v="450"/>
    <n v="15"/>
    <n v="5"/>
    <n v="1204.875"/>
    <x v="4"/>
    <x v="2"/>
    <x v="1"/>
  </r>
  <r>
    <s v="ORD-1117"/>
    <x v="87"/>
    <s v="Kiran Kumar"/>
    <s v="CUST-117"/>
    <s v="kirankum@hotmail.com"/>
    <s v="8768901084"/>
    <s v="Chennai"/>
    <s v="Tamil Nadu"/>
    <x v="0"/>
    <s v="PROD-108"/>
    <x v="0"/>
    <x v="0"/>
    <s v="Beverage"/>
    <x v="0"/>
    <n v="3"/>
    <n v="450"/>
    <n v="10"/>
    <n v="5"/>
    <n v="1275.75"/>
    <x v="5"/>
    <x v="3"/>
    <x v="0"/>
  </r>
  <r>
    <s v="ORD-1118"/>
    <x v="88"/>
    <s v="Rohit Yadav"/>
    <s v="CUST-118"/>
    <s v="rohityad@yahoo.com"/>
    <s v="7915604499"/>
    <s v="Bengaluru"/>
    <s v="Karnataka"/>
    <x v="0"/>
    <s v="PROD-103"/>
    <x v="23"/>
    <x v="2"/>
    <s v="Footwear"/>
    <x v="21"/>
    <n v="2"/>
    <n v="4500"/>
    <n v="25"/>
    <n v="5"/>
    <n v="7087.5"/>
    <x v="0"/>
    <x v="3"/>
    <x v="0"/>
  </r>
  <r>
    <s v="ORD-1119"/>
    <x v="89"/>
    <s v="Suresh Kumar"/>
    <s v="CUST-119"/>
    <s v="sureshku@rediffmail.com"/>
    <s v="6772303297"/>
    <s v="Mumbai"/>
    <s v="Maharashtra"/>
    <x v="1"/>
    <s v="PROD-120"/>
    <x v="4"/>
    <x v="2"/>
    <s v="Mobile"/>
    <x v="4"/>
    <n v="1"/>
    <n v="14000"/>
    <n v="10"/>
    <n v="18"/>
    <n v="14868"/>
    <x v="0"/>
    <x v="3"/>
    <x v="0"/>
  </r>
  <r>
    <s v="ORD-1120"/>
    <x v="46"/>
    <s v="Priya Sharma"/>
    <s v="CUST-120"/>
    <s v="priyasha@rediffmail.com"/>
    <s v="7540961801"/>
    <s v="Lucknow"/>
    <s v="Uttar Pradesh"/>
    <x v="2"/>
    <s v="PROD-101"/>
    <x v="12"/>
    <x v="2"/>
    <s v="Television"/>
    <x v="4"/>
    <n v="9"/>
    <n v="35000"/>
    <n v="10"/>
    <n v="18"/>
    <n v="334530"/>
    <x v="1"/>
    <x v="0"/>
    <x v="1"/>
  </r>
  <r>
    <s v="ORD-1121"/>
    <x v="73"/>
    <s v="Saranya M"/>
    <s v="CUST-121"/>
    <s v="@gmail"/>
    <s v="9325878813"/>
    <s v="Hydrabad"/>
    <s v="Telangana"/>
    <x v="0"/>
    <s v="PROD-112"/>
    <x v="7"/>
    <x v="0"/>
    <s v="Snacks"/>
    <x v="7"/>
    <n v="8"/>
    <n v="0"/>
    <n v="80"/>
    <n v="5"/>
    <n v="0"/>
    <x v="0"/>
    <x v="1"/>
    <x v="0"/>
  </r>
  <r>
    <s v="ORD-1122"/>
    <x v="56"/>
    <s v="Arjun Mehta"/>
    <s v="CUST-122"/>
    <s v="arjunmeh@outlook.com"/>
    <s v="9015103300"/>
    <s v="Delhi"/>
    <s v="Delhi"/>
    <x v="2"/>
    <s v="PROD-103"/>
    <x v="23"/>
    <x v="3"/>
    <s v="Footwear"/>
    <x v="21"/>
    <n v="5"/>
    <n v="4500"/>
    <n v="25"/>
    <n v="5"/>
    <n v="17718.75"/>
    <x v="0"/>
    <x v="3"/>
    <x v="0"/>
  </r>
  <r>
    <s v="ORD-1123"/>
    <x v="18"/>
    <s v="Ravi Shankar"/>
    <s v="CUST-123"/>
    <s v="ravishan@yahoo.com"/>
    <s v="9380225197"/>
    <s v="Visakhapatnam"/>
    <s v="Andhra Pradesh"/>
    <x v="0"/>
    <s v="PROD-125"/>
    <x v="1"/>
    <x v="1"/>
    <s v="Gold"/>
    <x v="1"/>
    <n v="10"/>
    <n v="25000"/>
    <n v="5"/>
    <n v="3"/>
    <n v="244625"/>
    <x v="5"/>
    <x v="0"/>
    <x v="0"/>
  </r>
  <r>
    <s v="ORD-1124"/>
    <x v="90"/>
    <s v="Deepa Krishnan"/>
    <s v="CUST-124"/>
    <s v="deepakri@yahoo.com"/>
    <s v="6322132937"/>
    <s v="Hydrabad"/>
    <s v="Telangana"/>
    <x v="1"/>
    <s v="PROD-124"/>
    <x v="6"/>
    <x v="2"/>
    <s v="Audio"/>
    <x v="6"/>
    <n v="6"/>
    <n v="2800"/>
    <n v="10"/>
    <n v="18"/>
    <n v="17841.599999999999"/>
    <x v="4"/>
    <x v="3"/>
    <x v="0"/>
  </r>
  <r>
    <s v="ORD-1125"/>
    <x v="64"/>
    <s v="Kavitha N"/>
    <s v="CUST-125"/>
    <s v="kavithan@hotmail.com"/>
    <s v="6659663750"/>
    <s v="Delhi"/>
    <s v="Delhi"/>
    <x v="2"/>
    <s v="PROD-120"/>
    <x v="4"/>
    <x v="2"/>
    <s v="Mobile"/>
    <x v="4"/>
    <n v="10"/>
    <n v="14000"/>
    <n v="10"/>
    <n v="18"/>
    <n v="148680"/>
    <x v="5"/>
    <x v="4"/>
    <x v="1"/>
  </r>
  <r>
    <s v="ORD-1126"/>
    <x v="91"/>
    <s v="Sneha Reddy"/>
    <s v="CUST-126"/>
    <s v="snehared@hotmail.com"/>
    <s v="7130847576"/>
    <s v="Kochi"/>
    <s v="Kerala"/>
    <x v="0"/>
    <s v="PROD-110"/>
    <x v="17"/>
    <x v="3"/>
    <s v="Traditional"/>
    <x v="16"/>
    <n v="4"/>
    <n v="3500"/>
    <n v="12"/>
    <n v="5"/>
    <n v="12936"/>
    <x v="4"/>
    <x v="2"/>
    <x v="1"/>
  </r>
  <r>
    <s v="ORD-1127"/>
    <x v="92"/>
    <s v="Prasad P"/>
    <s v="CUST-127"/>
    <s v="prasadp@gmail.com"/>
    <s v="6149157745"/>
    <s v="Hydrabad"/>
    <s v="Telangana"/>
    <x v="0"/>
    <s v="PROD-109"/>
    <x v="8"/>
    <x v="2"/>
    <s v="Computer"/>
    <x v="8"/>
    <n v="6"/>
    <n v="55000"/>
    <n v="0"/>
    <n v="18"/>
    <n v="389400"/>
    <x v="5"/>
    <x v="0"/>
    <x v="0"/>
  </r>
  <r>
    <s v="ORD-1128"/>
    <x v="93"/>
    <s v="Arun Sharma"/>
    <s v="CUST-128"/>
    <s v="arunshar@rediffmail.com"/>
    <s v="7186273502"/>
    <s v="Bengaluru"/>
    <s v="Karnataka"/>
    <x v="0"/>
    <s v="PROD-119"/>
    <x v="3"/>
    <x v="3"/>
    <s v="Accessories"/>
    <x v="3"/>
    <n v="3"/>
    <n v="3500"/>
    <n v="0"/>
    <n v="18"/>
    <n v="12390"/>
    <x v="2"/>
    <x v="1"/>
    <x v="1"/>
  </r>
  <r>
    <s v="ORD-1129"/>
    <x v="70"/>
    <s v="Deepika Rao"/>
    <s v="CUST-129"/>
    <s v="deepikar@hotmail.com"/>
    <s v="6739592196"/>
    <s v="Hydrabad"/>
    <s v="Telangana"/>
    <x v="0"/>
    <s v="PROD-101"/>
    <x v="12"/>
    <x v="2"/>
    <s v="Television"/>
    <x v="4"/>
    <n v="7"/>
    <n v="35000"/>
    <n v="5"/>
    <n v="18"/>
    <n v="274645"/>
    <x v="4"/>
    <x v="2"/>
    <x v="0"/>
  </r>
  <r>
    <s v="ORD-1130"/>
    <x v="6"/>
    <s v="Anita Verma"/>
    <s v="CUST-130"/>
    <s v="anitaver@hotmail.com"/>
    <s v="9130169646"/>
    <s v="Visakhapatnam"/>
    <s v="Andhra Pradesh"/>
    <x v="0"/>
    <s v="PROD-120"/>
    <x v="4"/>
    <x v="2"/>
    <s v="Mobile"/>
    <x v="4"/>
    <n v="4"/>
    <n v="14000"/>
    <n v="15"/>
    <n v="18"/>
    <n v="56168"/>
    <x v="3"/>
    <x v="0"/>
    <x v="1"/>
  </r>
  <r>
    <s v="ORD-1131"/>
    <x v="94"/>
    <s v="Manoj Kumar"/>
    <s v="CUST-131"/>
    <s v="manojkum@yahoo.com"/>
    <s v="7960432117"/>
    <s v="Kolkata"/>
    <s v="West Bengal"/>
    <x v="3"/>
    <s v="PROD-107"/>
    <x v="10"/>
    <x v="3"/>
    <s v="Clothing"/>
    <x v="10"/>
    <n v="9"/>
    <n v="2500"/>
    <n v="12"/>
    <n v="5"/>
    <n v="20790"/>
    <x v="5"/>
    <x v="1"/>
    <x v="0"/>
  </r>
  <r>
    <s v="ORD-1132"/>
    <x v="95"/>
    <s v="Sneha Reddy"/>
    <s v="CUST-132"/>
    <s v="ravi@"/>
    <s v="6950695647"/>
    <s v="Kochi"/>
    <s v="Kerala"/>
    <x v="0"/>
    <s v="PROD-109"/>
    <x v="8"/>
    <x v="2"/>
    <s v="Computer"/>
    <x v="8"/>
    <n v="1"/>
    <n v="55000"/>
    <n v="25"/>
    <n v="18"/>
    <n v="48675"/>
    <x v="4"/>
    <x v="2"/>
    <x v="1"/>
  </r>
  <r>
    <s v="ORD-1133"/>
    <x v="96"/>
    <s v="Rekha Pandey"/>
    <s v="CUST-133"/>
    <s v="rekhapan@yahoo.com"/>
    <s v="9540388030"/>
    <s v="Pune"/>
    <s v="Maharashtra"/>
    <x v="1"/>
    <s v="PROD-114"/>
    <x v="15"/>
    <x v="4"/>
    <s v="Kitchen"/>
    <x v="14"/>
    <n v="8"/>
    <n v="3200"/>
    <n v="12"/>
    <n v="18"/>
    <n v="26583.039999999997"/>
    <x v="2"/>
    <x v="4"/>
    <x v="1"/>
  </r>
  <r>
    <s v="ORD-1134"/>
    <x v="33"/>
    <s v="Padma Lakshmi"/>
    <s v="CUST-134"/>
    <s v="padmalak@rediffmail.com"/>
    <s v="6600992653"/>
    <s v="Visakhapatnam"/>
    <s v="Andhra Pradesh"/>
    <x v="0"/>
    <s v="PROD-101"/>
    <x v="12"/>
    <x v="2"/>
    <s v="Television"/>
    <x v="4"/>
    <n v="10"/>
    <n v="35000"/>
    <n v="12"/>
    <n v="18"/>
    <n v="363440"/>
    <x v="2"/>
    <x v="4"/>
    <x v="0"/>
  </r>
  <r>
    <s v="ORD-1135"/>
    <x v="97"/>
    <s v="Priya Sharma"/>
    <s v="CUST-135"/>
    <s v="priyasha@yahoo.com"/>
    <s v="8401022668"/>
    <s v="Mumbai"/>
    <s v="Maharashtra"/>
    <x v="1"/>
    <s v="PROD-109"/>
    <x v="8"/>
    <x v="2"/>
    <s v="Computer"/>
    <x v="8"/>
    <n v="10"/>
    <n v="55000"/>
    <n v="25"/>
    <n v="18"/>
    <n v="486750"/>
    <x v="3"/>
    <x v="0"/>
    <x v="1"/>
  </r>
  <r>
    <s v="ORD-1136"/>
    <x v="98"/>
    <s v="Manish Tiwari"/>
    <s v="CUST-136"/>
    <s v="manishti@hotmail.com"/>
    <s v="9740268586"/>
    <s v="Lucknow"/>
    <s v="Uttar Pradesh"/>
    <x v="2"/>
    <s v="PROD-108"/>
    <x v="0"/>
    <x v="0"/>
    <s v="Beverage"/>
    <x v="0"/>
    <n v="6"/>
    <n v="450"/>
    <n v="0"/>
    <n v="5"/>
    <n v="2835"/>
    <x v="5"/>
    <x v="3"/>
    <x v="0"/>
  </r>
  <r>
    <s v="ORD-1137"/>
    <x v="99"/>
    <s v="Suresh Kumar"/>
    <s v="CUST-137"/>
    <s v="sureshku@hotmail.com"/>
    <s v="8050418568"/>
    <s v="Chennai"/>
    <s v="Tamil Nadu"/>
    <x v="0"/>
    <s v="PROD-111"/>
    <x v="25"/>
    <x v="4"/>
    <s v="Appliance"/>
    <x v="23"/>
    <n v="6"/>
    <n v="38000"/>
    <n v="8"/>
    <n v="18"/>
    <n v="247516.79999999999"/>
    <x v="0"/>
    <x v="1"/>
    <x v="0"/>
  </r>
  <r>
    <s v="ORD-1138"/>
    <x v="100"/>
    <s v="Suresh Babu"/>
    <s v="CUST-138"/>
    <s v="sureshba@hotmail.com"/>
    <s v="7450990916"/>
    <s v="Hydrabad"/>
    <s v="Telangana"/>
    <x v="4"/>
    <s v="PROD-124"/>
    <x v="20"/>
    <x v="2"/>
    <s v="Audio"/>
    <x v="6"/>
    <n v="1"/>
    <n v="2800"/>
    <n v="15"/>
    <n v="18"/>
    <n v="2808.3999999999996"/>
    <x v="4"/>
    <x v="1"/>
    <x v="1"/>
  </r>
  <r>
    <s v="ORD-1139"/>
    <x v="101"/>
    <s v="Swati Gupta"/>
    <s v="CUST-139"/>
    <s v="swatigup@gmail.com"/>
    <s v="6084790270"/>
    <s v="Chennai"/>
    <s v="Tamil Nadu"/>
    <x v="0"/>
    <s v="PROD-116"/>
    <x v="24"/>
    <x v="3"/>
    <s v="Clothing"/>
    <x v="22"/>
    <n v="1"/>
    <n v="1200"/>
    <n v="8"/>
    <n v="5"/>
    <n v="1159.2"/>
    <x v="0"/>
    <x v="0"/>
    <x v="1"/>
  </r>
  <r>
    <s v="ORD-1140"/>
    <x v="11"/>
    <s v="Sneha Reddy"/>
    <s v="CUST-140"/>
    <s v="snehared@rediffmail.com"/>
    <s v="8246895401"/>
    <s v="Bengaluru"/>
    <s v="Karnataka"/>
    <x v="0"/>
    <s v="PROD-113"/>
    <x v="18"/>
    <x v="3"/>
    <s v="Accessories"/>
    <x v="17"/>
    <n v="1"/>
    <n v="8500"/>
    <n v="8"/>
    <n v="18"/>
    <n v="9227.6"/>
    <x v="0"/>
    <x v="2"/>
    <x v="1"/>
  </r>
  <r>
    <s v="ORD-1141"/>
    <x v="82"/>
    <s v="Divya Nair"/>
    <s v="CUST-141"/>
    <s v="divyanai@gmail.com"/>
    <s v="6169412921"/>
    <s v="Kochi"/>
    <s v="Kerala"/>
    <x v="0"/>
    <s v="PROD-110"/>
    <x v="17"/>
    <x v="3"/>
    <s v="Traditional"/>
    <x v="16"/>
    <n v="1"/>
    <n v="3500"/>
    <n v="25"/>
    <n v="5"/>
    <n v="2756.25"/>
    <x v="5"/>
    <x v="4"/>
    <x v="0"/>
  </r>
  <r>
    <s v="ORD-1142"/>
    <x v="11"/>
    <s v="Rahul Gupta"/>
    <s v="CUST-142"/>
    <s v="rahulgup@hotmail.com"/>
    <s v="9653606617"/>
    <s v="Kochi"/>
    <s v="Kerala"/>
    <x v="0"/>
    <s v="PROD-111"/>
    <x v="25"/>
    <x v="4"/>
    <s v="Appliance"/>
    <x v="23"/>
    <n v="1"/>
    <n v="38000"/>
    <n v="25"/>
    <n v="18"/>
    <n v="33630"/>
    <x v="1"/>
    <x v="3"/>
    <x v="0"/>
  </r>
  <r>
    <s v="ORD-1143"/>
    <x v="102"/>
    <s v="Venkat Reddy"/>
    <s v="CUST-143"/>
    <s v="venkatre@hotmail.com"/>
    <s v="8813090060"/>
    <s v="Bengaluru"/>
    <s v="Karnataka"/>
    <x v="0"/>
    <s v="PROD-106"/>
    <x v="16"/>
    <x v="4"/>
    <s v="Appliance"/>
    <x v="15"/>
    <n v="3"/>
    <n v="42000"/>
    <n v="25"/>
    <n v="18"/>
    <n v="111510"/>
    <x v="1"/>
    <x v="0"/>
    <x v="0"/>
  </r>
  <r>
    <s v="ORD-1144"/>
    <x v="103"/>
    <s v="Kiran Kumar"/>
    <s v="CUST-144"/>
    <s v="kirankum@hotmail.com"/>
    <s v="6321543768"/>
    <s v="Hydrabad"/>
    <s v="Telangana"/>
    <x v="0"/>
    <s v="PROD-122"/>
    <x v="21"/>
    <x v="3"/>
    <s v="Travel"/>
    <x v="19"/>
    <n v="6"/>
    <n v="4800"/>
    <n v="10"/>
    <n v="18"/>
    <n v="30585.599999999999"/>
    <x v="3"/>
    <x v="2"/>
    <x v="0"/>
  </r>
  <r>
    <s v="ORD-1145"/>
    <x v="7"/>
    <s v="Nisha Patel"/>
    <s v="CUST-145"/>
    <s v="ravi@"/>
    <s v="Not provided"/>
    <s v="Lucknow"/>
    <s v="Uttar Pradesh"/>
    <x v="2"/>
    <s v="PROD-109"/>
    <x v="8"/>
    <x v="2"/>
    <s v="Computer"/>
    <x v="8"/>
    <n v="4"/>
    <n v="55000"/>
    <n v="25"/>
    <n v="18"/>
    <n v="194700"/>
    <x v="2"/>
    <x v="3"/>
    <x v="1"/>
  </r>
  <r>
    <s v="ORD-1146"/>
    <x v="28"/>
    <s v="Rohit Yadav"/>
    <s v="CUST-146"/>
    <s v="rohityad@outlook.com"/>
    <s v="6456650521"/>
    <s v="Kolkata"/>
    <s v="West Bengal"/>
    <x v="3"/>
    <s v="PROD-121"/>
    <x v="13"/>
    <x v="0"/>
    <s v="Dairy"/>
    <x v="12"/>
    <n v="6"/>
    <n v="280"/>
    <n v="25"/>
    <n v="5"/>
    <n v="1323"/>
    <x v="5"/>
    <x v="0"/>
    <x v="0"/>
  </r>
  <r>
    <s v="ORD-1147"/>
    <x v="40"/>
    <s v="Amit Singh"/>
    <s v="CUST-147"/>
    <s v="amitsing@rediffmail.com"/>
    <s v="8277897510"/>
    <s v="Kolkata"/>
    <s v="West Bengal"/>
    <x v="3"/>
    <s v="PROD-123"/>
    <x v="11"/>
    <x v="4"/>
    <s v="Lighting"/>
    <x v="11"/>
    <n v="2"/>
    <n v="299"/>
    <n v="15"/>
    <n v="18"/>
    <n v="599.79399999999998"/>
    <x v="2"/>
    <x v="1"/>
    <x v="1"/>
  </r>
  <r>
    <s v="ORD-1148"/>
    <x v="74"/>
    <s v="Sneha Reddy"/>
    <s v="CUST-148"/>
    <s v="snehared@yahoo.com"/>
    <s v="9807217286"/>
    <s v="Chennai"/>
    <s v="Tamil Nadu"/>
    <x v="0"/>
    <s v="PROD-119"/>
    <x v="3"/>
    <x v="3"/>
    <s v="Accessories"/>
    <x v="3"/>
    <n v="10"/>
    <n v="3500"/>
    <n v="15"/>
    <n v="18"/>
    <n v="35105"/>
    <x v="0"/>
    <x v="4"/>
    <x v="1"/>
  </r>
  <r>
    <s v="ORD-1149"/>
    <x v="11"/>
    <s v="Arun Sharma"/>
    <s v="CUST-149"/>
    <s v="arunshar@rediffmail.com"/>
    <s v="7793054056"/>
    <s v="Jaipur"/>
    <s v="Rajasthan"/>
    <x v="2"/>
    <s v="PROD-118"/>
    <x v="5"/>
    <x v="4"/>
    <s v="Appliance"/>
    <x v="5"/>
    <n v="4"/>
    <n v="12000"/>
    <n v="8"/>
    <n v="18"/>
    <n v="52108.799999999996"/>
    <x v="5"/>
    <x v="2"/>
    <x v="0"/>
  </r>
  <r>
    <s v="ORD-1150"/>
    <x v="104"/>
    <s v="Unknown"/>
    <s v="CUST-150"/>
    <s v="user@rediffmail.com"/>
    <s v="8410638666"/>
    <s v="Jaipur"/>
    <s v="Rajasthan"/>
    <x v="2"/>
    <s v="PROD-114"/>
    <x v="15"/>
    <x v="4"/>
    <s v="Kitchen"/>
    <x v="14"/>
    <n v="1"/>
    <n v="3200"/>
    <n v="12"/>
    <n v="18"/>
    <n v="3322.8799999999997"/>
    <x v="0"/>
    <x v="2"/>
    <x v="0"/>
  </r>
  <r>
    <s v="ORD-1151"/>
    <x v="105"/>
    <s v="Suresh Babu"/>
    <s v="CUST-151"/>
    <s v="sureshba@yahoo.com"/>
    <s v="8931997465"/>
    <s v="Ahmedabad"/>
    <s v="Gujarat"/>
    <x v="1"/>
    <s v="PROD-123"/>
    <x v="11"/>
    <x v="4"/>
    <s v="Lighting"/>
    <x v="11"/>
    <n v="6"/>
    <n v="299"/>
    <n v="25"/>
    <n v="18"/>
    <n v="1587.6899999999998"/>
    <x v="2"/>
    <x v="3"/>
    <x v="1"/>
  </r>
  <r>
    <s v="ORD-1152"/>
    <x v="99"/>
    <s v="Meera Nair"/>
    <s v="CUST-152"/>
    <s v="meeranai@outlook.com"/>
    <s v="8235986982"/>
    <s v="Kolkata"/>
    <s v="West Bengal"/>
    <x v="3"/>
    <s v="PROD-124"/>
    <x v="6"/>
    <x v="2"/>
    <s v="Audio"/>
    <x v="6"/>
    <n v="3"/>
    <n v="0"/>
    <n v="8"/>
    <n v="18"/>
    <n v="0"/>
    <x v="2"/>
    <x v="1"/>
    <x v="1"/>
  </r>
  <r>
    <s v="ORD-1153"/>
    <x v="18"/>
    <s v="Meera Nair"/>
    <s v="CUST-153"/>
    <s v="meeranai@rediffmail.com"/>
    <s v="6171271484"/>
    <s v="Delhi"/>
    <s v="Delhi"/>
    <x v="2"/>
    <s v="PROD-118"/>
    <x v="5"/>
    <x v="4"/>
    <s v="Appliance"/>
    <x v="5"/>
    <n v="6"/>
    <n v="12000"/>
    <n v="25"/>
    <n v="18"/>
    <n v="63720"/>
    <x v="1"/>
    <x v="2"/>
    <x v="0"/>
  </r>
  <r>
    <s v="ORD-1154"/>
    <x v="106"/>
    <s v="Kiran Kumar"/>
    <s v="CUST-154"/>
    <s v="kirankum@yahoo.com"/>
    <s v="6446362270"/>
    <s v="Visakhapatnam"/>
    <s v="Andhra Pradesh"/>
    <x v="0"/>
    <s v="PROD-104"/>
    <x v="22"/>
    <x v="4"/>
    <s v="Kitchen"/>
    <x v="20"/>
    <n v="6"/>
    <n v="2200"/>
    <n v="10"/>
    <n v="12"/>
    <n v="13305.6"/>
    <x v="5"/>
    <x v="2"/>
    <x v="0"/>
  </r>
  <r>
    <s v="ORD-1155"/>
    <x v="40"/>
    <s v="Sanjay Shah"/>
    <s v="CUST-155"/>
    <s v="sanjaysh@gmail.com"/>
    <s v="6025335682"/>
    <s v="Chennai"/>
    <s v="Tamil Nadu"/>
    <x v="0"/>
    <s v="PROD-124"/>
    <x v="6"/>
    <x v="2"/>
    <s v="Audio"/>
    <x v="6"/>
    <n v="1"/>
    <n v="2800"/>
    <n v="12"/>
    <n v="18"/>
    <n v="2907.52"/>
    <x v="4"/>
    <x v="3"/>
    <x v="1"/>
  </r>
  <r>
    <s v="ORD-1156"/>
    <x v="53"/>
    <s v="Padma Lakshmi"/>
    <s v="CUST-156"/>
    <s v="padmalak@rediffmail.com"/>
    <s v="7280142912"/>
    <s v="Delhi"/>
    <s v="Delhi"/>
    <x v="2"/>
    <s v="PROD-119"/>
    <x v="3"/>
    <x v="3"/>
    <s v="Accessories"/>
    <x v="3"/>
    <n v="5"/>
    <n v="3500"/>
    <n v="25"/>
    <n v="18"/>
    <n v="15487.5"/>
    <x v="3"/>
    <x v="2"/>
    <x v="0"/>
  </r>
  <r>
    <s v="ORD-1157"/>
    <x v="87"/>
    <s v="Neha Singh"/>
    <s v="CUST-157"/>
    <s v="nehasing@yahoo.com"/>
    <s v="6233595980"/>
    <s v="Hydrabad"/>
    <s v="Telangana"/>
    <x v="0"/>
    <s v="PROD-118"/>
    <x v="5"/>
    <x v="4"/>
    <s v="Appliance"/>
    <x v="5"/>
    <n v="9"/>
    <n v="12000"/>
    <n v="15"/>
    <n v="18"/>
    <n v="108324"/>
    <x v="3"/>
    <x v="1"/>
    <x v="0"/>
  </r>
  <r>
    <s v="ORD-1158"/>
    <x v="80"/>
    <s v="Kavitha N"/>
    <s v="CUST-158"/>
    <s v="kavithan@outlook.com"/>
    <s v="6724301196"/>
    <s v="Hydrabad"/>
    <s v="Telangana"/>
    <x v="0"/>
    <s v="PROD-103"/>
    <x v="23"/>
    <x v="3"/>
    <s v="Footwear"/>
    <x v="21"/>
    <n v="8"/>
    <n v="4500"/>
    <n v="12"/>
    <n v="5"/>
    <n v="33264"/>
    <x v="3"/>
    <x v="3"/>
    <x v="1"/>
  </r>
  <r>
    <s v="ORD-1159"/>
    <x v="107"/>
    <s v="Ravi Kumar"/>
    <s v="CUST-159"/>
    <s v="ravikuma@gmail.com"/>
    <s v="9490272519"/>
    <s v="Lucknow"/>
    <s v="Uttar Pradesh"/>
    <x v="2"/>
    <s v="PROD-108"/>
    <x v="0"/>
    <x v="0"/>
    <s v="Beverage"/>
    <x v="0"/>
    <n v="6"/>
    <n v="450"/>
    <n v="5"/>
    <n v="5"/>
    <n v="2693.25"/>
    <x v="3"/>
    <x v="2"/>
    <x v="0"/>
  </r>
  <r>
    <s v="ORD-1160"/>
    <x v="15"/>
    <s v="Saranya M"/>
    <s v="CUST-160"/>
    <s v="saranyam@rediffmail.com"/>
    <s v="6602887521"/>
    <s v="Bengaluru"/>
    <s v="Karnataka"/>
    <x v="0"/>
    <s v="PROD-119"/>
    <x v="3"/>
    <x v="3"/>
    <s v="Accessories"/>
    <x v="3"/>
    <n v="9"/>
    <n v="3500"/>
    <n v="12"/>
    <n v="18"/>
    <n v="32709.599999999999"/>
    <x v="1"/>
    <x v="2"/>
    <x v="0"/>
  </r>
  <r>
    <s v="ORD-1161"/>
    <x v="82"/>
    <s v="Prasad P"/>
    <s v="CUST-161"/>
    <s v="@yahoo.com"/>
    <s v="8239279558"/>
    <s v="Kolkata"/>
    <s v="West Bengal"/>
    <x v="3"/>
    <s v="PROD-119"/>
    <x v="3"/>
    <x v="3"/>
    <s v="Accessories"/>
    <x v="3"/>
    <n v="6"/>
    <n v="3500"/>
    <n v="10"/>
    <n v="18"/>
    <n v="22302"/>
    <x v="1"/>
    <x v="3"/>
    <x v="0"/>
  </r>
  <r>
    <s v="ORD-1162"/>
    <x v="108"/>
    <s v="Anita Verma"/>
    <s v="CUST-162"/>
    <s v="anitaver@gmail.com"/>
    <s v="6645277642"/>
    <s v="Surat"/>
    <s v="Gujarat"/>
    <x v="1"/>
    <s v="PROD-119"/>
    <x v="3"/>
    <x v="3"/>
    <s v="Accessories"/>
    <x v="3"/>
    <n v="2"/>
    <n v="3500"/>
    <n v="15"/>
    <n v="18"/>
    <n v="7021"/>
    <x v="0"/>
    <x v="3"/>
    <x v="1"/>
  </r>
  <r>
    <s v="ORD-1163"/>
    <x v="109"/>
    <s v="Manish Tiwari"/>
    <s v="CUST-163"/>
    <s v="gmail.com"/>
    <s v="7741421625"/>
    <s v="Kolkata"/>
    <s v="West Bengal"/>
    <x v="3"/>
    <s v="PROD-123"/>
    <x v="11"/>
    <x v="4"/>
    <s v="Lighting"/>
    <x v="11"/>
    <n v="2"/>
    <n v="299"/>
    <n v="80"/>
    <n v="18"/>
    <n v="141.12799999999996"/>
    <x v="3"/>
    <x v="0"/>
    <x v="1"/>
  </r>
  <r>
    <s v="ORD-1164"/>
    <x v="110"/>
    <s v="Dinesh K"/>
    <s v="CUST-164"/>
    <s v="dineshk@rediffmail.com"/>
    <s v="7655546199"/>
    <s v="Bengaluru"/>
    <s v="Karnataka"/>
    <x v="0"/>
    <s v="PROD-124"/>
    <x v="6"/>
    <x v="2"/>
    <s v="Audio"/>
    <x v="6"/>
    <n v="10"/>
    <n v="2800"/>
    <n v="8"/>
    <n v="18"/>
    <n v="30396.799999999999"/>
    <x v="2"/>
    <x v="2"/>
    <x v="1"/>
  </r>
  <r>
    <s v="ORD-1165"/>
    <x v="100"/>
    <s v="Kavya Rao"/>
    <s v="CUST-165"/>
    <s v="kavyarao@hotmail.com"/>
    <s v="8529942267"/>
    <s v="Bengaluru"/>
    <s v="Karnataka"/>
    <x v="1"/>
    <s v="PROD-105"/>
    <x v="19"/>
    <x v="2"/>
    <s v="Audio"/>
    <x v="18"/>
    <n v="9"/>
    <n v="1500"/>
    <n v="0"/>
    <n v="18"/>
    <n v="15930"/>
    <x v="5"/>
    <x v="3"/>
    <x v="0"/>
  </r>
  <r>
    <s v="ORD-1166"/>
    <x v="78"/>
    <s v="Ravi Shankar"/>
    <s v="CUST-166"/>
    <s v="ravishan@rediffmail.com"/>
    <s v="7819182998"/>
    <s v="Bengaluru"/>
    <s v="Karnataka"/>
    <x v="0"/>
    <s v="PROD-109"/>
    <x v="8"/>
    <x v="2"/>
    <s v="Computer"/>
    <x v="8"/>
    <n v="9"/>
    <n v="55000"/>
    <n v="5"/>
    <n v="18"/>
    <n v="554895"/>
    <x v="1"/>
    <x v="3"/>
    <x v="0"/>
  </r>
  <r>
    <s v="ORD-1167"/>
    <x v="18"/>
    <s v="Ravi Shankar"/>
    <s v="CUST-167"/>
    <s v="ravishan@rediffmail.com"/>
    <s v="8364706816"/>
    <s v="Kochi"/>
    <s v="Kerala"/>
    <x v="0"/>
    <s v="PROD-122"/>
    <x v="21"/>
    <x v="3"/>
    <s v="Travel"/>
    <x v="19"/>
    <n v="3"/>
    <n v="4800"/>
    <n v="15"/>
    <n v="18"/>
    <n v="14443.199999999999"/>
    <x v="2"/>
    <x v="2"/>
    <x v="0"/>
  </r>
  <r>
    <s v="ORD-1168"/>
    <x v="94"/>
    <s v="Padma Lakshmi"/>
    <s v="CUST-168"/>
    <s v="padmalak@yahoo.com"/>
    <s v="8225451403"/>
    <s v="Mumbai"/>
    <s v="Maharashtra"/>
    <x v="1"/>
    <s v="PROD-121"/>
    <x v="13"/>
    <x v="2"/>
    <s v="Dairy"/>
    <x v="12"/>
    <n v="2"/>
    <n v="280"/>
    <n v="20"/>
    <n v="5"/>
    <n v="470.40000000000003"/>
    <x v="4"/>
    <x v="1"/>
    <x v="0"/>
  </r>
  <r>
    <s v="ORD-1169"/>
    <x v="111"/>
    <s v="Rahul Gupta"/>
    <s v="MISSING"/>
    <s v="rahulgup@outlook.com"/>
    <s v="7953175066"/>
    <s v="Pune"/>
    <s v="Maharashtra"/>
    <x v="4"/>
    <s v="PROD-120"/>
    <x v="4"/>
    <x v="2"/>
    <s v="Mobile"/>
    <x v="4"/>
    <n v="3"/>
    <n v="14000"/>
    <n v="20"/>
    <n v="18"/>
    <n v="39648"/>
    <x v="5"/>
    <x v="2"/>
    <x v="1"/>
  </r>
  <r>
    <s v="ORD-1170"/>
    <x v="112"/>
    <s v="Geetha Rao"/>
    <s v="CUST-170"/>
    <s v="geethara@gmail.com"/>
    <s v="7643569086"/>
    <s v="Bengaluru"/>
    <s v="Karnataka"/>
    <x v="0"/>
    <s v="PROD-114"/>
    <x v="15"/>
    <x v="4"/>
    <s v="Kitchen"/>
    <x v="14"/>
    <n v="2"/>
    <n v="3200"/>
    <n v="12"/>
    <n v="18"/>
    <n v="6645.7599999999993"/>
    <x v="0"/>
    <x v="3"/>
    <x v="0"/>
  </r>
  <r>
    <s v="ORD-1171"/>
    <x v="32"/>
    <s v="Unknown"/>
    <s v="CUST-171"/>
    <s v="user@yahoo.com"/>
    <s v="6870875721"/>
    <s v="Ahmedabad"/>
    <s v="Gujarat"/>
    <x v="1"/>
    <s v="PROD-114"/>
    <x v="15"/>
    <x v="4"/>
    <s v="Kitchen"/>
    <x v="14"/>
    <n v="4"/>
    <n v="3200"/>
    <n v="8"/>
    <n v="18"/>
    <n v="13895.679999999998"/>
    <x v="4"/>
    <x v="1"/>
    <x v="0"/>
  </r>
  <r>
    <s v="ORD-1172"/>
    <x v="9"/>
    <s v="Vijay Patel"/>
    <s v="CUST-172"/>
    <s v="vijaypat@rediffmail.com"/>
    <s v="7817526512"/>
    <s v="Kolkata"/>
    <s v="West Bengal"/>
    <x v="3"/>
    <s v="PROD-125"/>
    <x v="1"/>
    <x v="1"/>
    <s v="Gold"/>
    <x v="1"/>
    <n v="1"/>
    <n v="25000"/>
    <n v="15"/>
    <n v="3"/>
    <n v="21887.5"/>
    <x v="4"/>
    <x v="3"/>
    <x v="0"/>
  </r>
  <r>
    <s v="ORD-1173"/>
    <x v="113"/>
    <s v="Venkat Reddy"/>
    <s v="CUST-173"/>
    <s v="venkatre@outlook.com"/>
    <s v="6904230112"/>
    <s v="Chennai"/>
    <s v="Tamil Nadu"/>
    <x v="3"/>
    <s v="PROD-113"/>
    <x v="18"/>
    <x v="3"/>
    <s v="Accessories"/>
    <x v="17"/>
    <n v="9"/>
    <n v="0"/>
    <n v="5"/>
    <n v="18"/>
    <n v="0"/>
    <x v="5"/>
    <x v="4"/>
    <x v="0"/>
  </r>
  <r>
    <s v="ORD-1174"/>
    <x v="114"/>
    <s v="Manoj Kumar"/>
    <s v="CUST-174"/>
    <s v="manojkum@rediffmail.com"/>
    <s v="8090017854"/>
    <s v="Kochi"/>
    <s v="Kerala"/>
    <x v="0"/>
    <s v="PROD-113"/>
    <x v="18"/>
    <x v="3"/>
    <s v="Accessories"/>
    <x v="17"/>
    <n v="4"/>
    <n v="8500"/>
    <n v="20"/>
    <n v="18"/>
    <n v="32096"/>
    <x v="3"/>
    <x v="3"/>
    <x v="0"/>
  </r>
  <r>
    <s v="ORD-1175"/>
    <x v="29"/>
    <s v="Sita Devi"/>
    <s v="CUST-175"/>
    <s v="sitadevi@rediffmail.com"/>
    <s v="8787996193"/>
    <s v="Surat"/>
    <s v="Gujarat"/>
    <x v="1"/>
    <s v="PROD-119"/>
    <x v="3"/>
    <x v="3"/>
    <s v="Accessories"/>
    <x v="3"/>
    <n v="5"/>
    <n v="3500"/>
    <n v="15"/>
    <n v="18"/>
    <n v="17552.5"/>
    <x v="1"/>
    <x v="3"/>
    <x v="1"/>
  </r>
  <r>
    <s v="ORD-1176"/>
    <x v="10"/>
    <s v="Mohan Lal"/>
    <s v="CUST-176"/>
    <s v="mohanlal@yahoo.com"/>
    <s v="9051288583"/>
    <s v="Kolkata"/>
    <s v="West Bengal"/>
    <x v="3"/>
    <s v="PROD-110"/>
    <x v="17"/>
    <x v="3"/>
    <s v="Traditional"/>
    <x v="16"/>
    <n v="2"/>
    <n v="3500"/>
    <n v="8"/>
    <n v="5"/>
    <n v="6762"/>
    <x v="0"/>
    <x v="1"/>
    <x v="1"/>
  </r>
  <r>
    <s v="ORD-1177"/>
    <x v="115"/>
    <s v="Anita Verma"/>
    <s v="CUST-177"/>
    <s v="anitaver@hotmail.com"/>
    <s v="813144473"/>
    <s v="Kolkata"/>
    <s v="West Bengal"/>
    <x v="3"/>
    <s v="PROD-109"/>
    <x v="8"/>
    <x v="2"/>
    <s v="Computer"/>
    <x v="8"/>
    <n v="9"/>
    <n v="55000"/>
    <n v="10"/>
    <n v="18"/>
    <n v="525690"/>
    <x v="5"/>
    <x v="0"/>
    <x v="0"/>
  </r>
  <r>
    <s v="ORD-1178"/>
    <x v="116"/>
    <s v="Deepika Rao"/>
    <s v="CUST-178"/>
    <s v="deepikar@rediffmail.com"/>
    <s v="8710328466"/>
    <s v="Delhi"/>
    <s v="Delhi"/>
    <x v="2"/>
    <s v="PROD-120"/>
    <x v="4"/>
    <x v="2"/>
    <s v="Mobile"/>
    <x v="4"/>
    <n v="4"/>
    <n v="14000"/>
    <n v="80"/>
    <n v="18"/>
    <n v="13215.999999999996"/>
    <x v="3"/>
    <x v="3"/>
    <x v="1"/>
  </r>
  <r>
    <s v="ORD-1179"/>
    <x v="103"/>
    <s v="Ravi Shankar"/>
    <s v="CUST-179"/>
    <s v="ravishan@hotmail.com"/>
    <s v="9427232626"/>
    <s v="Bengaluru"/>
    <s v="Karnataka"/>
    <x v="0"/>
    <s v="PROD-121"/>
    <x v="13"/>
    <x v="0"/>
    <s v="Dairy"/>
    <x v="12"/>
    <n v="2"/>
    <n v="280"/>
    <n v="0"/>
    <n v="5"/>
    <n v="588"/>
    <x v="4"/>
    <x v="3"/>
    <x v="1"/>
  </r>
  <r>
    <s v="ORD-1180"/>
    <x v="111"/>
    <s v="Rahul Gupta"/>
    <s v="CUST-180"/>
    <s v="rahulgup@gmail.com"/>
    <s v="8735433372"/>
    <s v="Kolkata"/>
    <s v="West Bengal"/>
    <x v="3"/>
    <s v="PROD-101"/>
    <x v="12"/>
    <x v="2"/>
    <s v="Television"/>
    <x v="4"/>
    <n v="4"/>
    <n v="35000"/>
    <n v="12"/>
    <n v="18"/>
    <n v="145376"/>
    <x v="0"/>
    <x v="0"/>
    <x v="1"/>
  </r>
  <r>
    <s v="ORD-1181"/>
    <x v="32"/>
    <s v="Unknown"/>
    <s v="CUST-181"/>
    <s v="user@gmail.com"/>
    <s v="6627442454"/>
    <s v="Kolkata"/>
    <s v="West Bengal"/>
    <x v="3"/>
    <s v="PROD-123"/>
    <x v="11"/>
    <x v="4"/>
    <s v="Lighting"/>
    <x v="11"/>
    <n v="1"/>
    <n v="299"/>
    <n v="0"/>
    <n v="18"/>
    <n v="352.82"/>
    <x v="1"/>
    <x v="3"/>
    <x v="1"/>
  </r>
  <r>
    <s v="ORD-1182"/>
    <x v="25"/>
    <s v="Sneha Reddy"/>
    <s v="CUST-182"/>
    <s v="snehared@outlook.com"/>
    <s v="9127754456"/>
    <s v="Surat"/>
    <s v="Gujarat"/>
    <x v="1"/>
    <s v="PROD-103"/>
    <x v="23"/>
    <x v="3"/>
    <s v="Footwear"/>
    <x v="21"/>
    <n v="7"/>
    <n v="4500"/>
    <n v="25"/>
    <n v="5"/>
    <n v="24806.25"/>
    <x v="5"/>
    <x v="2"/>
    <x v="0"/>
  </r>
  <r>
    <s v="ORD-1183"/>
    <x v="117"/>
    <s v="Amit Singh"/>
    <s v="CUST-183"/>
    <s v="amitsing@gmail.com"/>
    <s v="8946109800"/>
    <s v="Chennai"/>
    <s v="Tamil Nadu"/>
    <x v="0"/>
    <s v="PROD-109"/>
    <x v="8"/>
    <x v="2"/>
    <s v="Computer"/>
    <x v="8"/>
    <n v="4"/>
    <n v="55000"/>
    <n v="12"/>
    <n v="18"/>
    <n v="228448"/>
    <x v="1"/>
    <x v="1"/>
    <x v="0"/>
  </r>
  <r>
    <s v="ORD-1184"/>
    <x v="58"/>
    <s v="Padma Lakshmi"/>
    <s v="CUST-184"/>
    <s v="padmalak@hotmail.com"/>
    <s v="8104929112"/>
    <s v="Lucknow"/>
    <s v="Uttar Pradesh"/>
    <x v="2"/>
    <s v="PROD-125"/>
    <x v="1"/>
    <x v="1"/>
    <s v="Gold"/>
    <x v="1"/>
    <n v="2"/>
    <n v="25000"/>
    <n v="15"/>
    <n v="3"/>
    <n v="43775"/>
    <x v="0"/>
    <x v="3"/>
    <x v="0"/>
  </r>
  <r>
    <s v="ORD-1185"/>
    <x v="35"/>
    <s v="Divya Nair"/>
    <s v="CUST-185"/>
    <s v="divyanai@gmail.com"/>
    <s v="7664260498"/>
    <s v="Bengaluru"/>
    <s v="Karnataka"/>
    <x v="0"/>
    <s v="PROD-112"/>
    <x v="7"/>
    <x v="0"/>
    <s v="Snacks"/>
    <x v="7"/>
    <n v="9"/>
    <n v="50"/>
    <n v="15"/>
    <n v="5"/>
    <n v="401.625"/>
    <x v="3"/>
    <x v="3"/>
    <x v="0"/>
  </r>
  <r>
    <s v="ORD-1186"/>
    <x v="36"/>
    <s v="Divya Nair"/>
    <s v="CUST-186"/>
    <s v="divyanai@rediffmail.com"/>
    <s v="8602550993"/>
    <s v="Delhi"/>
    <s v="Delhi"/>
    <x v="2"/>
    <s v="PROD-125"/>
    <x v="1"/>
    <x v="1"/>
    <s v="Gold"/>
    <x v="1"/>
    <n v="2"/>
    <n v="25000"/>
    <n v="8"/>
    <n v="3"/>
    <n v="47380"/>
    <x v="5"/>
    <x v="3"/>
    <x v="1"/>
  </r>
  <r>
    <s v="ORD-1187"/>
    <x v="118"/>
    <s v="Meera Nair"/>
    <s v="CUST-187"/>
    <s v="meeranai@yahoo.com"/>
    <s v="8259977516"/>
    <s v="Hydrabad"/>
    <s v="Telangana"/>
    <x v="0"/>
    <s v="PROD-107"/>
    <x v="10"/>
    <x v="3"/>
    <s v="Clothing"/>
    <x v="10"/>
    <n v="1"/>
    <n v="2500"/>
    <n v="0"/>
    <n v="5"/>
    <n v="2625"/>
    <x v="5"/>
    <x v="4"/>
    <x v="1"/>
  </r>
  <r>
    <s v="ORD-1188"/>
    <x v="119"/>
    <s v="Vijay Patel"/>
    <s v="CUST-188"/>
    <s v="vijaypat@outlook.com"/>
    <s v="9628620372"/>
    <s v="Bengaluru"/>
    <s v="Karnataka"/>
    <x v="0"/>
    <s v="PROD-106"/>
    <x v="16"/>
    <x v="4"/>
    <s v="Appliance"/>
    <x v="15"/>
    <n v="10"/>
    <n v="42000"/>
    <n v="8"/>
    <n v="18"/>
    <n v="455952"/>
    <x v="2"/>
    <x v="1"/>
    <x v="1"/>
  </r>
  <r>
    <s v="ORD-1189"/>
    <x v="83"/>
    <s v="Neha Singh"/>
    <s v="CUST-189"/>
    <s v="nehasing@outlook.com"/>
    <s v="Not provided"/>
    <s v="Bengaluru"/>
    <s v="Karnataka"/>
    <x v="0"/>
    <s v="PROD-114"/>
    <x v="15"/>
    <x v="4"/>
    <s v="Kitchen"/>
    <x v="14"/>
    <n v="7"/>
    <n v="3200"/>
    <n v="25"/>
    <n v="18"/>
    <n v="19824"/>
    <x v="4"/>
    <x v="1"/>
    <x v="0"/>
  </r>
  <r>
    <s v="ORD-1190"/>
    <x v="64"/>
    <s v="Rekha Pandey"/>
    <s v="CUST-190"/>
    <s v="rekhapan@rediffmail.com"/>
    <s v="9107754709"/>
    <s v="Pune"/>
    <s v="Maharashtra"/>
    <x v="1"/>
    <s v="PROD-101"/>
    <x v="12"/>
    <x v="2"/>
    <s v="Television"/>
    <x v="4"/>
    <n v="9"/>
    <n v="35000"/>
    <n v="15"/>
    <n v="18"/>
    <n v="315945"/>
    <x v="0"/>
    <x v="0"/>
    <x v="1"/>
  </r>
  <r>
    <s v="ORD-1191"/>
    <x v="120"/>
    <s v="Kiran Kumar"/>
    <s v="CUST-191"/>
    <s v="ravi@"/>
    <s v="Not provided"/>
    <s v="Mumbai"/>
    <s v="Maharashtra"/>
    <x v="1"/>
    <s v="PROD-123"/>
    <x v="11"/>
    <x v="4"/>
    <s v="Lighting"/>
    <x v="11"/>
    <n v="1"/>
    <n v="299"/>
    <n v="15"/>
    <n v="18"/>
    <n v="299.89699999999999"/>
    <x v="5"/>
    <x v="0"/>
    <x v="0"/>
  </r>
  <r>
    <s v="ORD-1192"/>
    <x v="107"/>
    <s v="Mohan Lal"/>
    <s v="CUST-192"/>
    <s v="mohanlal@hotmail.com"/>
    <s v="6579265528"/>
    <s v="Bengaluru"/>
    <s v="Karnataka"/>
    <x v="0"/>
    <s v="PROD-117"/>
    <x v="14"/>
    <x v="0"/>
    <s v="Snacks"/>
    <x v="13"/>
    <n v="8"/>
    <n v="40"/>
    <n v="20"/>
    <n v="5"/>
    <n v="268.8"/>
    <x v="1"/>
    <x v="2"/>
    <x v="1"/>
  </r>
  <r>
    <s v="ORD-1193"/>
    <x v="41"/>
    <s v="Venkat Reddy"/>
    <s v="CUST-193"/>
    <s v="venkatre@yahoo.com"/>
    <s v="9447982663"/>
    <s v="Chennai"/>
    <s v="Tamil Nadu"/>
    <x v="0"/>
    <s v="PROD-113"/>
    <x v="18"/>
    <x v="3"/>
    <s v="Accessories"/>
    <x v="17"/>
    <n v="4"/>
    <n v="8500"/>
    <n v="5"/>
    <n v="18"/>
    <n v="38114"/>
    <x v="0"/>
    <x v="3"/>
    <x v="0"/>
  </r>
  <r>
    <s v="ORD-1194"/>
    <x v="77"/>
    <s v="Prasad P"/>
    <s v="CUST-194"/>
    <s v="prasadp@rediffmail.com"/>
    <s v="8675944972"/>
    <s v="Kolkata"/>
    <s v="West Bengal"/>
    <x v="3"/>
    <s v="PROD-102"/>
    <x v="9"/>
    <x v="2"/>
    <s v="Mobile"/>
    <x v="9"/>
    <n v="2"/>
    <n v="89000"/>
    <n v="80"/>
    <n v="18"/>
    <n v="42007.999999999993"/>
    <x v="3"/>
    <x v="3"/>
    <x v="0"/>
  </r>
  <r>
    <s v="ORD-1195"/>
    <x v="121"/>
    <s v="Suresh Kumar"/>
    <s v="CUST-195"/>
    <s v="sureshku@hotmail.com"/>
    <s v="9882100932"/>
    <s v="Hydrabad"/>
    <s v="Telangana"/>
    <x v="0"/>
    <s v="PROD-122"/>
    <x v="21"/>
    <x v="3"/>
    <s v="Travel"/>
    <x v="19"/>
    <n v="10"/>
    <n v="4800"/>
    <n v="12"/>
    <n v="18"/>
    <n v="49843.199999999997"/>
    <x v="5"/>
    <x v="3"/>
    <x v="1"/>
  </r>
  <r>
    <s v="ORD-1196"/>
    <x v="19"/>
    <s v="Kiran Kumar"/>
    <s v="CUST-196"/>
    <s v="kirankum@gmail.com"/>
    <s v="6968870326"/>
    <s v="Mumbai"/>
    <s v="Maharashtra"/>
    <x v="1"/>
    <s v="PROD-118"/>
    <x v="5"/>
    <x v="4"/>
    <s v="Appliance"/>
    <x v="5"/>
    <n v="1"/>
    <n v="12000"/>
    <n v="80"/>
    <n v="18"/>
    <n v="2831.9999999999991"/>
    <x v="0"/>
    <x v="2"/>
    <x v="1"/>
  </r>
  <r>
    <s v="ORD-1197"/>
    <x v="108"/>
    <s v="Suresh Kumar"/>
    <s v="CUST-197"/>
    <s v="sureshku@rediffmail.com"/>
    <s v="9904134250"/>
    <s v="Lucknow"/>
    <s v="Uttar Pradesh"/>
    <x v="2"/>
    <s v="PROD-122"/>
    <x v="21"/>
    <x v="3"/>
    <s v="Travel"/>
    <x v="19"/>
    <n v="4"/>
    <n v="4800"/>
    <n v="15"/>
    <n v="18"/>
    <n v="19257.599999999999"/>
    <x v="0"/>
    <x v="2"/>
    <x v="0"/>
  </r>
  <r>
    <s v="ORD-1198"/>
    <x v="31"/>
    <s v="Suresh Kumar"/>
    <s v="CUST-198"/>
    <s v="sureshku@gmail.com"/>
    <s v="7146166176"/>
    <s v="Bengaluru"/>
    <s v="Karnataka"/>
    <x v="0"/>
    <s v="PROD-111"/>
    <x v="25"/>
    <x v="4"/>
    <s v="Appliance"/>
    <x v="23"/>
    <n v="3"/>
    <n v="38000"/>
    <n v="20"/>
    <n v="18"/>
    <n v="107616"/>
    <x v="2"/>
    <x v="4"/>
    <x v="0"/>
  </r>
  <r>
    <s v="ORD-1199"/>
    <x v="57"/>
    <s v="Dinesh K"/>
    <s v="CUST-199"/>
    <s v="dineshk@hotmail.com"/>
    <s v="6871163569"/>
    <s v="Bengaluru"/>
    <s v="Karnataka"/>
    <x v="0"/>
    <s v="PROD-120"/>
    <x v="4"/>
    <x v="2"/>
    <s v="Mobile"/>
    <x v="4"/>
    <n v="8"/>
    <n v="14000"/>
    <n v="8"/>
    <n v="18"/>
    <n v="121587.2"/>
    <x v="0"/>
    <x v="0"/>
    <x v="0"/>
  </r>
  <r>
    <s v="ORD-1200"/>
    <x v="122"/>
    <s v="Sanjay Shah"/>
    <s v="CUST-200"/>
    <s v="sanjaysh@gmail.com"/>
    <s v="8310130385"/>
    <s v="Delhi"/>
    <s v="Delhi"/>
    <x v="2"/>
    <s v="PROD-115"/>
    <x v="2"/>
    <x v="2"/>
    <s v="Mobile"/>
    <x v="2"/>
    <n v="4"/>
    <n v="28000"/>
    <n v="15"/>
    <n v="18"/>
    <n v="112336"/>
    <x v="5"/>
    <x v="2"/>
    <x v="0"/>
  </r>
  <r>
    <s v="ORD-1201"/>
    <x v="98"/>
    <s v="Geetha Rao"/>
    <s v="CUST-201"/>
    <s v="geethara@rediffmail.com"/>
    <s v="6581137750"/>
    <s v="Mumbai"/>
    <s v="Maharashtra"/>
    <x v="1"/>
    <s v="PROD-117"/>
    <x v="14"/>
    <x v="0"/>
    <s v="Snacks"/>
    <x v="13"/>
    <n v="5"/>
    <n v="40"/>
    <n v="0"/>
    <n v="5"/>
    <n v="210"/>
    <x v="2"/>
    <x v="3"/>
    <x v="1"/>
  </r>
  <r>
    <s v="ORD-1202"/>
    <x v="123"/>
    <s v="Geetha Rao"/>
    <s v="CUST-202"/>
    <s v="geethara@rediffmail.com"/>
    <s v="8363717591"/>
    <s v="Bengaluru"/>
    <s v="Karnataka"/>
    <x v="0"/>
    <s v="PROD-101"/>
    <x v="12"/>
    <x v="2"/>
    <s v="Television"/>
    <x v="4"/>
    <n v="8"/>
    <n v="35000"/>
    <n v="8"/>
    <n v="18"/>
    <n v="303968"/>
    <x v="3"/>
    <x v="0"/>
    <x v="0"/>
  </r>
  <r>
    <s v="ORD-1203"/>
    <x v="26"/>
    <s v="Suresh Babu"/>
    <s v="CUST-203"/>
    <s v="sureshba@hotmail.com"/>
    <s v="864927968"/>
    <s v="Mumbai"/>
    <s v="Maharashtra"/>
    <x v="1"/>
    <s v="PROD-111"/>
    <x v="25"/>
    <x v="4"/>
    <s v="Appliance"/>
    <x v="23"/>
    <n v="3"/>
    <n v="38000"/>
    <n v="25"/>
    <n v="18"/>
    <n v="100890"/>
    <x v="0"/>
    <x v="3"/>
    <x v="1"/>
  </r>
  <r>
    <s v="ORD-1204"/>
    <x v="14"/>
    <s v="Vijay Patel"/>
    <s v="MISSING"/>
    <s v="Not provided"/>
    <s v="7221405125"/>
    <s v="Pune"/>
    <s v="Maharashtra"/>
    <x v="1"/>
    <s v="PROD-116"/>
    <x v="24"/>
    <x v="3"/>
    <s v="Clothing"/>
    <x v="22"/>
    <n v="9"/>
    <n v="1200"/>
    <n v="8"/>
    <n v="5"/>
    <n v="10432.800000000001"/>
    <x v="1"/>
    <x v="0"/>
    <x v="1"/>
  </r>
  <r>
    <s v="ORD-1205"/>
    <x v="52"/>
    <s v="Padma Lakshmi"/>
    <s v="CUST-205"/>
    <s v="padmalak@yahoo.com"/>
    <s v="9134160124"/>
    <s v="Kolkata"/>
    <s v="West Bengal"/>
    <x v="3"/>
    <s v="PROD-118"/>
    <x v="5"/>
    <x v="4"/>
    <s v="Appliance"/>
    <x v="5"/>
    <n v="2"/>
    <n v="12000"/>
    <n v="20"/>
    <n v="18"/>
    <n v="22656"/>
    <x v="5"/>
    <x v="4"/>
    <x v="0"/>
  </r>
  <r>
    <s v="ORD-1206"/>
    <x v="124"/>
    <s v="Deepika Rao"/>
    <s v="CUST-206"/>
    <s v="@"/>
    <s v="9167402552"/>
    <s v="Delhi"/>
    <s v="Delhi"/>
    <x v="2"/>
    <s v="PROD-123"/>
    <x v="11"/>
    <x v="4"/>
    <s v="Lighting"/>
    <x v="11"/>
    <n v="6"/>
    <n v="299"/>
    <n v="25"/>
    <n v="18"/>
    <n v="1587.6899999999998"/>
    <x v="3"/>
    <x v="1"/>
    <x v="0"/>
  </r>
  <r>
    <s v="ORD-1207"/>
    <x v="94"/>
    <s v="Sanjay Shah"/>
    <s v="CUST-207"/>
    <s v="sanjaysh@outlook.com"/>
    <s v="8037963908"/>
    <s v="Kolkata"/>
    <s v="West Bengal"/>
    <x v="3"/>
    <s v="PROD-114"/>
    <x v="15"/>
    <x v="4"/>
    <s v="Kitchen"/>
    <x v="14"/>
    <n v="4"/>
    <n v="3200"/>
    <n v="15"/>
    <n v="18"/>
    <n v="12838.4"/>
    <x v="0"/>
    <x v="1"/>
    <x v="0"/>
  </r>
  <r>
    <s v="ORD-1208"/>
    <x v="33"/>
    <s v="Amit Singh"/>
    <s v="CUST-208"/>
    <s v="amitsing@outlook.com"/>
    <s v="9618105265"/>
    <s v="Chennai"/>
    <s v="Tamil Nadu"/>
    <x v="0"/>
    <s v="PROD-121"/>
    <x v="13"/>
    <x v="0"/>
    <s v="Dairy"/>
    <x v="12"/>
    <n v="7"/>
    <n v="280"/>
    <n v="15"/>
    <n v="5"/>
    <n v="1749.3000000000002"/>
    <x v="1"/>
    <x v="3"/>
    <x v="1"/>
  </r>
  <r>
    <s v="ORD-1209"/>
    <x v="125"/>
    <s v="Pooja Iyer"/>
    <s v="CUST-209"/>
    <s v="poojaiye@gmail.com"/>
    <s v="859127827"/>
    <s v="Bengaluru"/>
    <s v="Karnataka"/>
    <x v="0"/>
    <s v="PROD-106"/>
    <x v="16"/>
    <x v="4"/>
    <s v="Appliance"/>
    <x v="15"/>
    <n v="6"/>
    <n v="42000"/>
    <n v="15"/>
    <n v="18"/>
    <n v="252756"/>
    <x v="4"/>
    <x v="1"/>
    <x v="1"/>
  </r>
  <r>
    <s v="ORD-1210"/>
    <x v="2"/>
    <s v="Arun Sharma"/>
    <s v="CUST-210"/>
    <s v="arunshar@gmail.com"/>
    <s v="9202133175"/>
    <s v="Chennai"/>
    <s v="Tamil Nadu"/>
    <x v="0"/>
    <s v="PROD-116"/>
    <x v="24"/>
    <x v="3"/>
    <s v="Clothing"/>
    <x v="22"/>
    <n v="2"/>
    <n v="1200"/>
    <n v="0"/>
    <n v="5"/>
    <n v="2520"/>
    <x v="1"/>
    <x v="4"/>
    <x v="0"/>
  </r>
  <r>
    <s v="ORD-1211"/>
    <x v="126"/>
    <s v="Sita Devi"/>
    <s v="CUST-211"/>
    <s v="sitadevi@outlook.com"/>
    <s v="7337356436"/>
    <s v="Hydrabad"/>
    <s v="Telangana"/>
    <x v="0"/>
    <s v="PROD-110"/>
    <x v="17"/>
    <x v="3"/>
    <s v="Traditional"/>
    <x v="16"/>
    <n v="9"/>
    <n v="3500"/>
    <n v="12"/>
    <n v="5"/>
    <n v="29106"/>
    <x v="5"/>
    <x v="0"/>
    <x v="1"/>
  </r>
  <r>
    <s v="ORD-1212"/>
    <x v="20"/>
    <s v="Padma Lakshmi"/>
    <s v="CUST-212"/>
    <s v="padmalak@hotmail.com"/>
    <s v="8767756835"/>
    <s v="Lucknow"/>
    <s v="Uttar Pradesh"/>
    <x v="2"/>
    <s v="PROD-102"/>
    <x v="9"/>
    <x v="2"/>
    <s v="Mobile"/>
    <x v="9"/>
    <n v="1"/>
    <n v="89000"/>
    <n v="25"/>
    <n v="18"/>
    <n v="78765"/>
    <x v="2"/>
    <x v="2"/>
    <x v="1"/>
  </r>
  <r>
    <s v="ORD-1213"/>
    <x v="111"/>
    <s v="Rashmi Verma"/>
    <s v="CUST-213"/>
    <s v="rashmive@yahoo.com"/>
    <s v="9067779533"/>
    <s v="Mumbai"/>
    <s v="Maharashtra"/>
    <x v="1"/>
    <s v="PROD-108"/>
    <x v="0"/>
    <x v="0"/>
    <s v="Beverage"/>
    <x v="0"/>
    <n v="3"/>
    <n v="450"/>
    <n v="25"/>
    <n v="5"/>
    <n v="1063.125"/>
    <x v="3"/>
    <x v="3"/>
    <x v="0"/>
  </r>
  <r>
    <s v="ORD-1214"/>
    <x v="89"/>
    <s v="Deepa Krishnan"/>
    <s v="CUST-214"/>
    <s v="deepakri@gmail.com"/>
    <s v="9593806125"/>
    <s v="Lucknow"/>
    <s v="Uttar Pradesh"/>
    <x v="2"/>
    <s v="PROD-103"/>
    <x v="23"/>
    <x v="3"/>
    <s v="Footwear"/>
    <x v="21"/>
    <n v="10"/>
    <n v="4500"/>
    <n v="10"/>
    <n v="5"/>
    <n v="42525"/>
    <x v="0"/>
    <x v="1"/>
    <x v="0"/>
  </r>
  <r>
    <s v="ORD-1215"/>
    <x v="127"/>
    <s v="Nisha Patel"/>
    <s v="CUST-215"/>
    <s v="nishapat@outlook.com"/>
    <s v="6840381733"/>
    <s v="Bengaluru"/>
    <s v="Karnataka"/>
    <x v="0"/>
    <s v="PROD-115"/>
    <x v="2"/>
    <x v="2"/>
    <s v="Mobile"/>
    <x v="2"/>
    <n v="7"/>
    <n v="28000"/>
    <n v="20"/>
    <n v="18"/>
    <n v="185024"/>
    <x v="0"/>
    <x v="1"/>
    <x v="0"/>
  </r>
  <r>
    <s v="ORD-1216"/>
    <x v="104"/>
    <s v="Sanjay Shah"/>
    <s v="CUST-216"/>
    <s v="sanjaysh@gmail.com"/>
    <s v="7693369537"/>
    <s v="Lucknow"/>
    <s v="Uttar Pradesh"/>
    <x v="2"/>
    <s v="PROD-122"/>
    <x v="21"/>
    <x v="3"/>
    <s v="Travel"/>
    <x v="19"/>
    <n v="6"/>
    <n v="4800"/>
    <n v="8"/>
    <n v="18"/>
    <n v="31265.279999999999"/>
    <x v="1"/>
    <x v="3"/>
    <x v="1"/>
  </r>
  <r>
    <s v="ORD-1217"/>
    <x v="53"/>
    <s v="Kiran Kumar"/>
    <s v="CUST-217"/>
    <s v="kirankum@hotmail.com"/>
    <s v="8986679532"/>
    <s v="Visakhapatnam"/>
    <s v="Andhra Pradesh"/>
    <x v="0"/>
    <s v="PROD-114"/>
    <x v="15"/>
    <x v="4"/>
    <s v="Kitchen"/>
    <x v="14"/>
    <n v="7"/>
    <n v="3200"/>
    <n v="8"/>
    <n v="18"/>
    <n v="24317.439999999999"/>
    <x v="3"/>
    <x v="0"/>
    <x v="1"/>
  </r>
  <r>
    <s v="ORD-1218"/>
    <x v="1"/>
    <s v="Dinesh K"/>
    <s v="CUST-218"/>
    <s v="dineshk@hotmail.com"/>
    <s v="9136122697"/>
    <s v="Bengaluru"/>
    <s v="Karnataka"/>
    <x v="0"/>
    <s v="PROD-115"/>
    <x v="2"/>
    <x v="2"/>
    <s v="Mobile"/>
    <x v="2"/>
    <n v="1"/>
    <n v="28000"/>
    <n v="12"/>
    <n v="18"/>
    <n v="29075.199999999997"/>
    <x v="1"/>
    <x v="1"/>
    <x v="0"/>
  </r>
  <r>
    <s v="ORD-1219"/>
    <x v="114"/>
    <s v="Deepika Rao"/>
    <s v="CUST-219"/>
    <s v="deepikar@outlook.com"/>
    <s v="763246789"/>
    <s v="Surat"/>
    <s v="Gujarat"/>
    <x v="1"/>
    <s v="PROD-103"/>
    <x v="23"/>
    <x v="3"/>
    <s v="Footwear"/>
    <x v="21"/>
    <n v="2"/>
    <n v="4500"/>
    <n v="15"/>
    <n v="5"/>
    <n v="8032.5"/>
    <x v="3"/>
    <x v="1"/>
    <x v="0"/>
  </r>
  <r>
    <s v="ORD-1220"/>
    <x v="105"/>
    <s v="Ravi Shankar"/>
    <s v="CUST-220"/>
    <s v="ravishan@yahoo.com"/>
    <s v="6753334536"/>
    <s v="Surat"/>
    <s v="Gujarat"/>
    <x v="1"/>
    <s v="PROD-116"/>
    <x v="24"/>
    <x v="3"/>
    <s v="Clothing"/>
    <x v="22"/>
    <n v="1"/>
    <n v="1200"/>
    <n v="12"/>
    <n v="5"/>
    <n v="1108.8"/>
    <x v="4"/>
    <x v="3"/>
    <x v="1"/>
  </r>
  <r>
    <s v="ORD-1221"/>
    <x v="11"/>
    <s v="Lakshmi Devi"/>
    <s v="CUST-221"/>
    <s v="lakshmid@hotmail.com"/>
    <s v="9231653009"/>
    <s v="Ahmedabad"/>
    <s v="Gujarat"/>
    <x v="1"/>
    <s v="PROD-117"/>
    <x v="14"/>
    <x v="0"/>
    <s v="Snacks"/>
    <x v="13"/>
    <n v="3"/>
    <n v="40"/>
    <n v="25"/>
    <n v="5"/>
    <n v="94.5"/>
    <x v="1"/>
    <x v="3"/>
    <x v="1"/>
  </r>
  <r>
    <s v="ORD-1222"/>
    <x v="13"/>
    <s v="Mohan Lal"/>
    <s v="CUST-222"/>
    <s v="mohanlal@gmail.com"/>
    <s v="7980446323"/>
    <s v="Ahmedabad"/>
    <s v="Gujarat"/>
    <x v="1"/>
    <s v="PROD-123"/>
    <x v="11"/>
    <x v="4"/>
    <s v="Lighting"/>
    <x v="11"/>
    <n v="5"/>
    <n v="299"/>
    <n v="0"/>
    <n v="18"/>
    <n v="1764.1"/>
    <x v="0"/>
    <x v="1"/>
    <x v="1"/>
  </r>
  <r>
    <s v="ORD-1223"/>
    <x v="128"/>
    <s v="Vijay Patel"/>
    <s v="CUST-223"/>
    <s v="vijaypat@gmail.com"/>
    <s v="9678385314"/>
    <s v="Bengaluru"/>
    <s v="Karnataka"/>
    <x v="0"/>
    <s v="PROD-117"/>
    <x v="14"/>
    <x v="0"/>
    <s v="Snacks"/>
    <x v="13"/>
    <n v="1"/>
    <n v="40"/>
    <n v="25"/>
    <n v="5"/>
    <n v="31.5"/>
    <x v="1"/>
    <x v="3"/>
    <x v="1"/>
  </r>
  <r>
    <s v="ORD-1224"/>
    <x v="10"/>
    <s v="Dinesh K"/>
    <s v="CUST-224"/>
    <s v="dineshk@hotmail.com"/>
    <s v="7109126346"/>
    <s v="Chennai"/>
    <s v="Tamil Nadu"/>
    <x v="0"/>
    <s v="PROD-125"/>
    <x v="1"/>
    <x v="1"/>
    <s v="Gold"/>
    <x v="1"/>
    <n v="3"/>
    <n v="25000"/>
    <n v="12"/>
    <n v="3"/>
    <n v="67980"/>
    <x v="1"/>
    <x v="4"/>
    <x v="0"/>
  </r>
  <r>
    <s v="ORD-1225"/>
    <x v="71"/>
    <s v="Lakshmi Devi"/>
    <s v="CUST-225"/>
    <s v="lakshmid@gmail.com"/>
    <s v="7144335983"/>
    <s v="Kolkata"/>
    <s v="West Bengal"/>
    <x v="3"/>
    <s v="PROD-116"/>
    <x v="24"/>
    <x v="3"/>
    <s v="Clothing"/>
    <x v="22"/>
    <n v="2"/>
    <n v="1200"/>
    <n v="25"/>
    <n v="5"/>
    <n v="1890"/>
    <x v="0"/>
    <x v="4"/>
    <x v="0"/>
  </r>
  <r>
    <s v="ORD-1226"/>
    <x v="8"/>
    <s v="Suresh Kumar"/>
    <s v="CUST-226"/>
    <s v="sureshku@gmail.com"/>
    <s v="7460558581"/>
    <s v="Lucknow"/>
    <s v="Uttar Pradesh"/>
    <x v="2"/>
    <s v="PROD-119"/>
    <x v="3"/>
    <x v="4"/>
    <s v="Accessories"/>
    <x v="3"/>
    <n v="1"/>
    <n v="3500"/>
    <n v="25"/>
    <n v="18"/>
    <n v="3097.5"/>
    <x v="1"/>
    <x v="0"/>
    <x v="1"/>
  </r>
  <r>
    <s v="ORD-1227"/>
    <x v="42"/>
    <s v="Rohit Yadav"/>
    <s v="CUST-227"/>
    <s v="rohityad@gmail.com"/>
    <s v="8146127091"/>
    <s v="Hydrabad"/>
    <s v="Telangana"/>
    <x v="0"/>
    <s v="PROD-110"/>
    <x v="17"/>
    <x v="3"/>
    <s v="Traditional"/>
    <x v="16"/>
    <n v="4"/>
    <n v="3500"/>
    <n v="25"/>
    <n v="5"/>
    <n v="11025"/>
    <x v="3"/>
    <x v="3"/>
    <x v="0"/>
  </r>
  <r>
    <s v="ORD-1228"/>
    <x v="129"/>
    <s v="Mohan Lal"/>
    <s v="CUST-228"/>
    <s v="mohanlal@yahoo.com"/>
    <s v="Not provided"/>
    <s v="Hydrabad"/>
    <s v="Telangana"/>
    <x v="0"/>
    <s v="PROD-101"/>
    <x v="12"/>
    <x v="2"/>
    <s v="Television"/>
    <x v="4"/>
    <n v="4"/>
    <n v="35000"/>
    <n v="8"/>
    <n v="18"/>
    <n v="151984"/>
    <x v="3"/>
    <x v="3"/>
    <x v="0"/>
  </r>
  <r>
    <s v="ORD-1229"/>
    <x v="68"/>
    <s v="Sneha Reddy"/>
    <s v="CUST-229"/>
    <s v="snehared@yahoo.com"/>
    <s v="7440977557"/>
    <s v="Jaipur"/>
    <s v="Rajasthan"/>
    <x v="2"/>
    <s v="PROD-104"/>
    <x v="22"/>
    <x v="4"/>
    <s v="Kitchen"/>
    <x v="20"/>
    <n v="2"/>
    <n v="2200"/>
    <n v="10"/>
    <n v="12"/>
    <n v="4435.2000000000007"/>
    <x v="2"/>
    <x v="3"/>
    <x v="0"/>
  </r>
  <r>
    <s v="ORD-1230"/>
    <x v="50"/>
    <s v="Meera Nair"/>
    <s v="CUST-230"/>
    <s v="meeranai@yahoo.com"/>
    <s v="7934535440"/>
    <s v="Bengaluru"/>
    <s v="Karnataka"/>
    <x v="0"/>
    <s v="PROD-125"/>
    <x v="1"/>
    <x v="1"/>
    <s v="Gold"/>
    <x v="1"/>
    <n v="10"/>
    <n v="25000"/>
    <n v="80"/>
    <n v="3"/>
    <n v="51499.999999999985"/>
    <x v="5"/>
    <x v="0"/>
    <x v="1"/>
  </r>
  <r>
    <s v="ORD-1231"/>
    <x v="4"/>
    <s v="Manoj Kumar"/>
    <s v="CUST-231"/>
    <s v="manojkum@yahoo.com"/>
    <s v="9421426659"/>
    <s v="Ahmedabad"/>
    <s v="Gujarat"/>
    <x v="1"/>
    <s v="PROD-120"/>
    <x v="4"/>
    <x v="2"/>
    <s v="Mobile"/>
    <x v="4"/>
    <n v="2"/>
    <n v="14000"/>
    <n v="10"/>
    <n v="18"/>
    <n v="29736"/>
    <x v="0"/>
    <x v="3"/>
    <x v="1"/>
  </r>
  <r>
    <s v="ORD-1232"/>
    <x v="11"/>
    <s v="Suresh Kumar"/>
    <s v="CUST-232"/>
    <s v="sureshku@hotmail.com"/>
    <s v="6853630743"/>
    <s v="Mumbai"/>
    <s v="Maharashtra"/>
    <x v="1"/>
    <s v="PROD-106"/>
    <x v="16"/>
    <x v="4"/>
    <s v="Appliance"/>
    <x v="15"/>
    <n v="7"/>
    <n v="42000"/>
    <n v="5"/>
    <n v="18"/>
    <n v="329574"/>
    <x v="1"/>
    <x v="3"/>
    <x v="1"/>
  </r>
  <r>
    <s v="ORD-1233"/>
    <x v="130"/>
    <s v="Kiran Kumar"/>
    <s v="CUST-233"/>
    <s v="kirankum@yahoo.com"/>
    <s v="632025275"/>
    <s v="Ahmedabad"/>
    <s v="Gujarat"/>
    <x v="1"/>
    <s v="PROD-111"/>
    <x v="25"/>
    <x v="4"/>
    <s v="Appliance"/>
    <x v="23"/>
    <n v="4"/>
    <n v="38000"/>
    <n v="10"/>
    <n v="18"/>
    <n v="161424"/>
    <x v="3"/>
    <x v="3"/>
    <x v="0"/>
  </r>
  <r>
    <s v="ORD-1234"/>
    <x v="49"/>
    <s v="Anita Verma"/>
    <s v="CUST-234"/>
    <s v="Not provided"/>
    <s v="7405725387"/>
    <s v="Chennai"/>
    <s v="Tamil Nadu"/>
    <x v="0"/>
    <s v="PROD-115"/>
    <x v="2"/>
    <x v="2"/>
    <s v="Mobile"/>
    <x v="2"/>
    <n v="10"/>
    <n v="28000"/>
    <n v="10"/>
    <n v="18"/>
    <n v="297360"/>
    <x v="0"/>
    <x v="1"/>
    <x v="0"/>
  </r>
  <r>
    <s v="ORD-1235"/>
    <x v="123"/>
    <s v="Swati Gupta"/>
    <s v="CUST-235"/>
    <s v="swatigup@hotmail.com"/>
    <s v="7270410210"/>
    <s v="Bengaluru"/>
    <s v="Karnataka"/>
    <x v="0"/>
    <s v="PROD-119"/>
    <x v="3"/>
    <x v="3"/>
    <s v="Accessories"/>
    <x v="3"/>
    <n v="1"/>
    <n v="3500"/>
    <n v="20"/>
    <n v="18"/>
    <n v="3304"/>
    <x v="3"/>
    <x v="3"/>
    <x v="0"/>
  </r>
  <r>
    <s v="ORD-1236"/>
    <x v="131"/>
    <s v="Vijay Patel"/>
    <s v="MISSING"/>
    <s v="vijaypat@outlook.com"/>
    <s v="8470591311"/>
    <s v="Delhi"/>
    <s v="Delhi"/>
    <x v="2"/>
    <s v="PROD-106"/>
    <x v="16"/>
    <x v="4"/>
    <s v="Appliance"/>
    <x v="15"/>
    <n v="8"/>
    <n v="42000"/>
    <n v="15"/>
    <n v="18"/>
    <n v="337008"/>
    <x v="0"/>
    <x v="3"/>
    <x v="1"/>
  </r>
  <r>
    <s v="ORD-1237"/>
    <x v="59"/>
    <s v="Sanjay Shah"/>
    <s v="CUST-237"/>
    <s v="sanjaysh@rediffmail.com"/>
    <s v="9234855539"/>
    <s v="Delhi"/>
    <s v="Delhi"/>
    <x v="2"/>
    <s v="PROD-111"/>
    <x v="25"/>
    <x v="4"/>
    <s v="Appliance"/>
    <x v="23"/>
    <n v="1"/>
    <n v="38000"/>
    <n v="8"/>
    <n v="18"/>
    <n v="41252.799999999996"/>
    <x v="0"/>
    <x v="1"/>
    <x v="0"/>
  </r>
  <r>
    <s v="ORD-1238"/>
    <x v="85"/>
    <s v="Rekha Pandey"/>
    <s v="CUST-238"/>
    <s v="rekhapan@yahoo.com"/>
    <s v="6469718772"/>
    <s v="Lucknow"/>
    <s v="Uttar Pradesh"/>
    <x v="2"/>
    <s v="PROD-109"/>
    <x v="8"/>
    <x v="2"/>
    <s v="Computer"/>
    <x v="8"/>
    <n v="8"/>
    <n v="55000"/>
    <n v="12"/>
    <n v="18"/>
    <n v="456896"/>
    <x v="5"/>
    <x v="0"/>
    <x v="0"/>
  </r>
  <r>
    <s v="ORD-1239"/>
    <x v="122"/>
    <s v="Pooja Iyer"/>
    <s v="CUST-239"/>
    <s v="poojaiye@outlook.com"/>
    <s v="8087991445"/>
    <s v="Surat"/>
    <s v="Gujarat"/>
    <x v="1"/>
    <s v="PROD-105"/>
    <x v="19"/>
    <x v="2"/>
    <s v="Audio"/>
    <x v="18"/>
    <n v="5"/>
    <n v="1500"/>
    <n v="20"/>
    <n v="18"/>
    <n v="7080"/>
    <x v="5"/>
    <x v="3"/>
    <x v="0"/>
  </r>
  <r>
    <s v="ORD-1240"/>
    <x v="97"/>
    <s v="Saranya M"/>
    <s v="CUST-240"/>
    <s v="saranyam@yahoo.com"/>
    <s v="7359897631"/>
    <s v="Delhi"/>
    <s v="Delhi"/>
    <x v="2"/>
    <s v="PROD-115"/>
    <x v="2"/>
    <x v="2"/>
    <s v="Mobile"/>
    <x v="2"/>
    <n v="5"/>
    <n v="28000"/>
    <n v="8"/>
    <n v="18"/>
    <n v="151984"/>
    <x v="3"/>
    <x v="2"/>
    <x v="1"/>
  </r>
  <r>
    <s v="ORD-1241"/>
    <x v="132"/>
    <s v="Ravi Shankar"/>
    <s v="CUST-241"/>
    <s v="ravishan@rediffmail.com"/>
    <s v="9029890512"/>
    <s v="Chennai"/>
    <s v="Tamil Nadu"/>
    <x v="0"/>
    <s v="PROD-112"/>
    <x v="7"/>
    <x v="0"/>
    <s v="Snacks"/>
    <x v="7"/>
    <n v="6"/>
    <n v="50"/>
    <n v="5"/>
    <n v="5"/>
    <n v="299.25"/>
    <x v="3"/>
    <x v="3"/>
    <x v="0"/>
  </r>
  <r>
    <s v="ORD-1242"/>
    <x v="24"/>
    <s v="Rahul Gupta"/>
    <s v="CUST-242"/>
    <s v="rahulgup@yahoo.com"/>
    <s v="9294648470"/>
    <s v="Mumbai"/>
    <s v="Maharashtra"/>
    <x v="1"/>
    <s v="PROD-125"/>
    <x v="1"/>
    <x v="1"/>
    <s v="Gold"/>
    <x v="1"/>
    <n v="8"/>
    <n v="25000"/>
    <n v="5"/>
    <n v="3"/>
    <n v="195700"/>
    <x v="3"/>
    <x v="3"/>
    <x v="1"/>
  </r>
  <r>
    <s v="ORD-1243"/>
    <x v="67"/>
    <s v="Anita Verma"/>
    <s v="CUST-243"/>
    <s v="anitaver@hotmail.com"/>
    <s v="9126106365"/>
    <s v="Pune"/>
    <s v="Maharashtra"/>
    <x v="1"/>
    <s v="PROD-122"/>
    <x v="21"/>
    <x v="3"/>
    <s v="Travel"/>
    <x v="19"/>
    <n v="6"/>
    <n v="4800"/>
    <n v="20"/>
    <n v="18"/>
    <n v="27187.199999999997"/>
    <x v="1"/>
    <x v="3"/>
    <x v="1"/>
  </r>
  <r>
    <s v="ORD-1244"/>
    <x v="133"/>
    <s v="Prasad P"/>
    <s v="CUST-244"/>
    <s v="prasadp@outlook.com"/>
    <s v="9050487679"/>
    <s v="Bengaluru"/>
    <s v="Karnataka"/>
    <x v="0"/>
    <s v="PROD-110"/>
    <x v="17"/>
    <x v="3"/>
    <s v="Traditional"/>
    <x v="16"/>
    <n v="7"/>
    <n v="3500"/>
    <n v="25"/>
    <n v="5"/>
    <n v="19293.75"/>
    <x v="0"/>
    <x v="3"/>
    <x v="1"/>
  </r>
  <r>
    <s v="ORD-1245"/>
    <x v="134"/>
    <s v="Ravi Shankar"/>
    <s v="CUST-245"/>
    <s v="ravishan@hotmail.com"/>
    <s v="6122159993"/>
    <s v="Chennai"/>
    <s v="Tamil Nadu"/>
    <x v="0"/>
    <s v="PROD-113"/>
    <x v="18"/>
    <x v="3"/>
    <s v="Accessories"/>
    <x v="17"/>
    <n v="10"/>
    <n v="8500"/>
    <n v="0"/>
    <n v="18"/>
    <n v="100300"/>
    <x v="2"/>
    <x v="3"/>
    <x v="1"/>
  </r>
  <r>
    <s v="ORD-1246"/>
    <x v="104"/>
    <s v="Arjun Mehta"/>
    <s v="CUST-246"/>
    <s v="gmail.com"/>
    <s v="7528941040"/>
    <s v="Surat"/>
    <s v="Gujarat"/>
    <x v="1"/>
    <s v="PROD-103"/>
    <x v="23"/>
    <x v="3"/>
    <s v="Footwear"/>
    <x v="21"/>
    <n v="5"/>
    <n v="4500"/>
    <n v="0"/>
    <n v="5"/>
    <n v="23625"/>
    <x v="1"/>
    <x v="3"/>
    <x v="0"/>
  </r>
  <r>
    <s v="ORD-1247"/>
    <x v="79"/>
    <s v="Sneha Reddy"/>
    <s v="CUST-247"/>
    <s v="snehared@outlook.com"/>
    <s v="7461633584"/>
    <s v="Jaipur"/>
    <s v="Rajasthan"/>
    <x v="2"/>
    <s v="PROD-121"/>
    <x v="13"/>
    <x v="0"/>
    <s v="Dairy"/>
    <x v="12"/>
    <n v="2"/>
    <n v="280"/>
    <n v="12"/>
    <n v="5"/>
    <n v="517.44000000000005"/>
    <x v="5"/>
    <x v="1"/>
    <x v="0"/>
  </r>
  <r>
    <s v="ORD-1248"/>
    <x v="84"/>
    <s v="Pooja Iyer"/>
    <s v="CUST-248"/>
    <s v="poojaiye@hotmail.com"/>
    <s v="9279592112"/>
    <s v="Bengaluru"/>
    <s v="Karnataka"/>
    <x v="0"/>
    <s v="PROD-117"/>
    <x v="14"/>
    <x v="0"/>
    <s v="Snacks"/>
    <x v="13"/>
    <n v="9"/>
    <n v="40"/>
    <n v="20"/>
    <n v="5"/>
    <n v="302.40000000000003"/>
    <x v="1"/>
    <x v="3"/>
    <x v="0"/>
  </r>
  <r>
    <s v="ORD-1249"/>
    <x v="131"/>
    <s v="Preethi S"/>
    <s v="CUST-249"/>
    <s v="preethis@outlook.com"/>
    <s v="Not provided"/>
    <s v="Kolkata"/>
    <s v="West Bengal"/>
    <x v="3"/>
    <s v="PROD-101"/>
    <x v="12"/>
    <x v="2"/>
    <s v="Television"/>
    <x v="4"/>
    <n v="4"/>
    <n v="35000"/>
    <n v="5"/>
    <n v="18"/>
    <n v="156940"/>
    <x v="1"/>
    <x v="0"/>
    <x v="1"/>
  </r>
  <r>
    <s v="ORD-1250"/>
    <x v="135"/>
    <s v="Sita Devi"/>
    <s v="CUST-250"/>
    <s v="sitadevi@rediffmail.com"/>
    <s v="9074387556"/>
    <s v="Hydrabad"/>
    <s v="Telangana"/>
    <x v="0"/>
    <s v="PROD-104"/>
    <x v="22"/>
    <x v="4"/>
    <s v="Kitchen"/>
    <x v="20"/>
    <n v="1"/>
    <n v="2200"/>
    <n v="15"/>
    <n v="12"/>
    <n v="2094.4"/>
    <x v="0"/>
    <x v="0"/>
    <x v="1"/>
  </r>
  <r>
    <s v="ORD-1251"/>
    <x v="57"/>
    <s v="Divya Nair"/>
    <s v="CUST-251"/>
    <s v="divyanai@outlook.com"/>
    <s v="6583739168"/>
    <s v="Jaipur"/>
    <s v="Rajasthan"/>
    <x v="2"/>
    <s v="PROD-125"/>
    <x v="1"/>
    <x v="1"/>
    <s v="Gold"/>
    <x v="1"/>
    <n v="9"/>
    <n v="25000"/>
    <n v="5"/>
    <n v="3"/>
    <n v="220162.5"/>
    <x v="0"/>
    <x v="2"/>
    <x v="0"/>
  </r>
  <r>
    <s v="ORD-1252"/>
    <x v="73"/>
    <s v="Nisha Patel"/>
    <s v="CUST-252"/>
    <s v="nishapat@hotmail.com"/>
    <s v="8244817796"/>
    <s v="Kochi"/>
    <s v="Kerala"/>
    <x v="0"/>
    <s v="PROD-118"/>
    <x v="5"/>
    <x v="4"/>
    <s v="Appliance"/>
    <x v="5"/>
    <n v="8"/>
    <n v="12000"/>
    <n v="20"/>
    <n v="18"/>
    <n v="90624"/>
    <x v="5"/>
    <x v="3"/>
    <x v="0"/>
  </r>
  <r>
    <s v="ORD-1253"/>
    <x v="136"/>
    <s v="Rohit Yadav"/>
    <s v="CUST-253"/>
    <s v="rohityad@rediffmail.com"/>
    <s v="8196508611"/>
    <s v="Bengaluru"/>
    <s v="Karnataka"/>
    <x v="0"/>
    <s v="PROD-113"/>
    <x v="18"/>
    <x v="3"/>
    <s v="Accessories"/>
    <x v="17"/>
    <n v="3"/>
    <n v="8500"/>
    <n v="20"/>
    <n v="18"/>
    <n v="24072"/>
    <x v="4"/>
    <x v="1"/>
    <x v="1"/>
  </r>
  <r>
    <s v="ORD-1254"/>
    <x v="12"/>
    <s v="Anita Verma"/>
    <s v="CUST-254"/>
    <s v="anitaver@yahoo.com"/>
    <s v="8168076965"/>
    <s v="Chennai"/>
    <s v="Tamil Nadu"/>
    <x v="0"/>
    <s v="PROD-104"/>
    <x v="22"/>
    <x v="4"/>
    <s v="Kitchen"/>
    <x v="20"/>
    <n v="1"/>
    <n v="2200"/>
    <n v="8"/>
    <n v="12"/>
    <n v="2266.88"/>
    <x v="0"/>
    <x v="1"/>
    <x v="1"/>
  </r>
  <r>
    <s v="ORD-1255"/>
    <x v="53"/>
    <s v="Lakshmi Devi"/>
    <s v="CUST-255"/>
    <s v="lakshmid@hotmail.com"/>
    <s v="8106912159"/>
    <s v="Chennai"/>
    <s v="Tamil Nadu"/>
    <x v="0"/>
    <s v="PROD-118"/>
    <x v="5"/>
    <x v="4"/>
    <s v="Appliance"/>
    <x v="5"/>
    <n v="2"/>
    <n v="12000"/>
    <n v="0"/>
    <n v="18"/>
    <n v="28320"/>
    <x v="3"/>
    <x v="3"/>
    <x v="1"/>
  </r>
  <r>
    <s v="ORD-1256"/>
    <x v="106"/>
    <s v="Kavitha N"/>
    <s v="CUST-256"/>
    <s v="kavithan@hotmail.com"/>
    <s v="7508689990"/>
    <s v="Chennai"/>
    <s v="Tamil Nadu"/>
    <x v="0"/>
    <s v="PROD-116"/>
    <x v="24"/>
    <x v="3"/>
    <s v="Clothing"/>
    <x v="22"/>
    <n v="10"/>
    <n v="1200"/>
    <n v="15"/>
    <n v="5"/>
    <n v="10710"/>
    <x v="1"/>
    <x v="3"/>
    <x v="0"/>
  </r>
  <r>
    <s v="ORD-1257"/>
    <x v="93"/>
    <s v="Sneha Reddy"/>
    <s v="CUST-257"/>
    <s v="snehared@outlook.com"/>
    <s v="6429740169"/>
    <s v="Ahmedabad"/>
    <s v="Gujarat"/>
    <x v="1"/>
    <s v="PROD-121"/>
    <x v="13"/>
    <x v="0"/>
    <s v="Dairy"/>
    <x v="12"/>
    <n v="1"/>
    <n v="280"/>
    <n v="20"/>
    <n v="5"/>
    <n v="235.20000000000002"/>
    <x v="3"/>
    <x v="1"/>
    <x v="0"/>
  </r>
  <r>
    <s v="ORD-1258"/>
    <x v="22"/>
    <s v="Sanjay Shah"/>
    <s v="CUST-258"/>
    <s v="sanjaysh@outlook.com"/>
    <s v="8041262104"/>
    <s v="Lucknow"/>
    <s v="Uttar Pradesh"/>
    <x v="2"/>
    <s v="PROD-125"/>
    <x v="1"/>
    <x v="1"/>
    <s v="Gold"/>
    <x v="1"/>
    <n v="4"/>
    <n v="25000"/>
    <n v="10"/>
    <n v="3"/>
    <n v="92700"/>
    <x v="0"/>
    <x v="0"/>
    <x v="1"/>
  </r>
  <r>
    <s v="ORD-1259"/>
    <x v="44"/>
    <s v="Swati Gupta"/>
    <s v="CUST-259"/>
    <s v="swatigup@rediffmail.com"/>
    <s v="9894830212"/>
    <s v="Pune"/>
    <s v="Maharashtra"/>
    <x v="1"/>
    <s v="PROD-103"/>
    <x v="23"/>
    <x v="3"/>
    <s v="Footwear"/>
    <x v="21"/>
    <n v="9"/>
    <n v="4500"/>
    <n v="8"/>
    <n v="5"/>
    <n v="39123"/>
    <x v="3"/>
    <x v="1"/>
    <x v="0"/>
  </r>
  <r>
    <s v="ORD-1260"/>
    <x v="7"/>
    <s v="Swati Gupta"/>
    <s v="CUST-260"/>
    <s v="swatigup@yahoo.com"/>
    <s v="Not provided"/>
    <s v="Bengaluru"/>
    <s v="Karnataka"/>
    <x v="0"/>
    <s v="PROD-102"/>
    <x v="9"/>
    <x v="2"/>
    <s v="Mobile"/>
    <x v="9"/>
    <n v="5"/>
    <n v="89000"/>
    <n v="10"/>
    <n v="18"/>
    <n v="472590"/>
    <x v="3"/>
    <x v="4"/>
    <x v="0"/>
  </r>
  <r>
    <s v="ORD-1261"/>
    <x v="137"/>
    <s v="Sita Devi"/>
    <s v="CUST-261"/>
    <s v="sitadevi@gmail.com"/>
    <s v="9619584847"/>
    <s v="Hydrabad"/>
    <s v="Telangana"/>
    <x v="0"/>
    <s v="PROD-114"/>
    <x v="15"/>
    <x v="4"/>
    <s v="Kitchen"/>
    <x v="14"/>
    <n v="1"/>
    <n v="3200"/>
    <n v="0"/>
    <n v="18"/>
    <n v="3776"/>
    <x v="5"/>
    <x v="3"/>
    <x v="1"/>
  </r>
  <r>
    <s v="ORD-1262"/>
    <x v="79"/>
    <s v="Kavya Rao"/>
    <s v="CUST-262"/>
    <s v="kavyarao@outlook.com"/>
    <s v="8531801378"/>
    <s v="Ahmedabad"/>
    <s v="Gujarat"/>
    <x v="1"/>
    <s v="PROD-124"/>
    <x v="6"/>
    <x v="2"/>
    <s v="Audio"/>
    <x v="6"/>
    <n v="9"/>
    <n v="2800"/>
    <n v="15"/>
    <n v="18"/>
    <n v="25275.599999999999"/>
    <x v="0"/>
    <x v="3"/>
    <x v="0"/>
  </r>
  <r>
    <s v="ORD-1263"/>
    <x v="58"/>
    <s v="Sneha Reddy"/>
    <s v="CUST-263"/>
    <s v="snehared@outlook.com"/>
    <s v="8297423915"/>
    <s v="Mumbai"/>
    <s v="Maharashtra"/>
    <x v="1"/>
    <s v="PROD-123"/>
    <x v="11"/>
    <x v="4"/>
    <s v="Lighting"/>
    <x v="11"/>
    <n v="5"/>
    <n v="299"/>
    <n v="80"/>
    <n v="18"/>
    <n v="352.81999999999994"/>
    <x v="1"/>
    <x v="0"/>
    <x v="0"/>
  </r>
  <r>
    <s v="ORD-1264"/>
    <x v="99"/>
    <s v="Vijay Patel"/>
    <s v="CUST-264"/>
    <s v="vijaypat@outlook.com"/>
    <s v="9522909617"/>
    <s v="Hydrabad"/>
    <s v="Telangana"/>
    <x v="0"/>
    <s v="PROD-113"/>
    <x v="18"/>
    <x v="3"/>
    <s v="Accessories"/>
    <x v="17"/>
    <n v="4"/>
    <n v="8500"/>
    <n v="15"/>
    <n v="18"/>
    <n v="34102"/>
    <x v="1"/>
    <x v="4"/>
    <x v="1"/>
  </r>
  <r>
    <s v="ORD-1265"/>
    <x v="138"/>
    <s v="Deepa Krishnan"/>
    <s v="CUST-265"/>
    <s v="deepakri@yahoo.com"/>
    <s v="9567491665"/>
    <s v="Kolkata"/>
    <s v="West Bengal"/>
    <x v="3"/>
    <s v="PROD-117"/>
    <x v="14"/>
    <x v="0"/>
    <s v="Snacks"/>
    <x v="13"/>
    <n v="6"/>
    <n v="40"/>
    <n v="25"/>
    <n v="5"/>
    <n v="189"/>
    <x v="2"/>
    <x v="4"/>
    <x v="0"/>
  </r>
  <r>
    <s v="ORD-1266"/>
    <x v="139"/>
    <s v="Kavya Rao"/>
    <s v="CUST-266"/>
    <s v="kavyarao@hotmail.com"/>
    <s v="6724801332"/>
    <s v="Kolkata"/>
    <s v="West Bengal"/>
    <x v="3"/>
    <s v="PROD-111"/>
    <x v="25"/>
    <x v="4"/>
    <s v="Appliance"/>
    <x v="23"/>
    <n v="10"/>
    <n v="38000"/>
    <n v="8"/>
    <n v="18"/>
    <n v="412528"/>
    <x v="0"/>
    <x v="0"/>
    <x v="0"/>
  </r>
  <r>
    <s v="ORD-1267"/>
    <x v="88"/>
    <s v="Sneha Reddy"/>
    <s v="CUST-267"/>
    <s v="snehared@yahoo.com"/>
    <s v="7215335058"/>
    <s v="Visakhapatnam"/>
    <s v="Andhra Pradesh"/>
    <x v="0"/>
    <s v="PROD-120"/>
    <x v="4"/>
    <x v="2"/>
    <s v="Mobile"/>
    <x v="4"/>
    <n v="1"/>
    <n v="14000"/>
    <n v="25"/>
    <n v="18"/>
    <n v="12390"/>
    <x v="4"/>
    <x v="4"/>
    <x v="0"/>
  </r>
  <r>
    <s v="ORD-1268"/>
    <x v="10"/>
    <s v="Divya Nair"/>
    <s v="CUST-268"/>
    <s v="divyanai@gmail.com"/>
    <s v="9900803267"/>
    <s v="Bengaluru"/>
    <s v="Karnataka"/>
    <x v="0"/>
    <s v="PROD-105"/>
    <x v="19"/>
    <x v="2"/>
    <s v="Audio"/>
    <x v="18"/>
    <n v="10"/>
    <n v="0"/>
    <n v="15"/>
    <n v="18"/>
    <n v="0"/>
    <x v="0"/>
    <x v="3"/>
    <x v="1"/>
  </r>
  <r>
    <s v="ORD-1269"/>
    <x v="85"/>
    <s v="Unknown"/>
    <s v="CUST-269"/>
    <s v="user@hotmail.com"/>
    <s v="6189675018"/>
    <s v="Kolkata"/>
    <s v="West Bengal"/>
    <x v="3"/>
    <s v="PROD-120"/>
    <x v="4"/>
    <x v="2"/>
    <s v="Mobile"/>
    <x v="4"/>
    <n v="7"/>
    <n v="14000"/>
    <n v="0"/>
    <n v="18"/>
    <n v="115640"/>
    <x v="1"/>
    <x v="3"/>
    <x v="0"/>
  </r>
  <r>
    <s v="ORD-1270"/>
    <x v="43"/>
    <s v="Kavya Rao"/>
    <s v="CUST-270"/>
    <s v="kavyarao@yahoo.com"/>
    <s v="6702463180"/>
    <s v="Mumbai"/>
    <s v="Maharashtra"/>
    <x v="1"/>
    <s v="PROD-109"/>
    <x v="8"/>
    <x v="2"/>
    <s v="Computer"/>
    <x v="8"/>
    <n v="10"/>
    <n v="55000"/>
    <n v="8"/>
    <n v="18"/>
    <n v="597080"/>
    <x v="3"/>
    <x v="2"/>
    <x v="0"/>
  </r>
  <r>
    <s v="ORD-1271"/>
    <x v="30"/>
    <s v="Rashmi Verma"/>
    <s v="CUST-271"/>
    <s v="rashmive@rediffmail.com"/>
    <s v="7057238139"/>
    <s v="Bengaluru"/>
    <s v="Karnataka"/>
    <x v="0"/>
    <s v="PROD-116"/>
    <x v="24"/>
    <x v="3"/>
    <s v="Clothing"/>
    <x v="22"/>
    <n v="8"/>
    <n v="1200"/>
    <n v="10"/>
    <n v="5"/>
    <n v="9072"/>
    <x v="5"/>
    <x v="4"/>
    <x v="0"/>
  </r>
  <r>
    <s v="ORD-1272"/>
    <x v="134"/>
    <s v="Nisha Patel"/>
    <s v="CUST-272"/>
    <s v="nishapat@rediffmail.com"/>
    <s v="9442665234"/>
    <s v="Bengaluru"/>
    <s v="Karnataka"/>
    <x v="0"/>
    <s v="PROD-101"/>
    <x v="12"/>
    <x v="2"/>
    <s v="Television"/>
    <x v="4"/>
    <n v="2"/>
    <n v="35000"/>
    <n v="25"/>
    <n v="18"/>
    <n v="61950"/>
    <x v="1"/>
    <x v="3"/>
    <x v="0"/>
  </r>
  <r>
    <s v="ORD-1273"/>
    <x v="64"/>
    <s v="Rahul Gupta"/>
    <s v="CUST-273"/>
    <s v="rahulgup@outlook.com"/>
    <s v="7542083341"/>
    <s v="Lucknow"/>
    <s v="Uttar Pradesh"/>
    <x v="2"/>
    <s v="PROD-124"/>
    <x v="6"/>
    <x v="2"/>
    <s v="Audio"/>
    <x v="6"/>
    <n v="3"/>
    <n v="2800"/>
    <n v="10"/>
    <n v="18"/>
    <n v="8920.7999999999993"/>
    <x v="2"/>
    <x v="1"/>
    <x v="1"/>
  </r>
  <r>
    <s v="ORD-1274"/>
    <x v="140"/>
    <s v="Deepa Krishnan"/>
    <s v="CUST-274"/>
    <s v="deepakri@hotmail.com"/>
    <s v="7290179231"/>
    <s v="Kochi"/>
    <s v="Kerala"/>
    <x v="0"/>
    <s v="PROD-116"/>
    <x v="24"/>
    <x v="3"/>
    <s v="Clothing"/>
    <x v="22"/>
    <n v="2"/>
    <n v="1200"/>
    <n v="20"/>
    <n v="5"/>
    <n v="2016"/>
    <x v="2"/>
    <x v="0"/>
    <x v="0"/>
  </r>
  <r>
    <s v="ORD-1275"/>
    <x v="98"/>
    <s v="Suresh Kumar"/>
    <s v="CUST-275"/>
    <s v="sureshku@hotmail.com"/>
    <s v="7687738937"/>
    <s v="Chennai"/>
    <s v="Tamil Nadu"/>
    <x v="0"/>
    <s v="PROD-110"/>
    <x v="17"/>
    <x v="3"/>
    <s v="Traditional"/>
    <x v="16"/>
    <n v="2"/>
    <n v="3500"/>
    <n v="25"/>
    <n v="5"/>
    <n v="5512.5"/>
    <x v="4"/>
    <x v="1"/>
    <x v="1"/>
  </r>
  <r>
    <s v="ORD-1276"/>
    <x v="101"/>
    <s v="Amit Singh"/>
    <s v="CUST-276"/>
    <s v="@"/>
    <s v="Not provided"/>
    <s v="Delhi"/>
    <s v="Delhi"/>
    <x v="2"/>
    <s v="PROD-123"/>
    <x v="11"/>
    <x v="4"/>
    <s v="Lighting"/>
    <x v="11"/>
    <n v="10"/>
    <n v="299"/>
    <n v="10"/>
    <n v="18"/>
    <n v="3175.3799999999997"/>
    <x v="2"/>
    <x v="2"/>
    <x v="1"/>
  </r>
  <r>
    <s v="ORD-1277"/>
    <x v="77"/>
    <s v="Venkat Reddy"/>
    <s v="CUST-277"/>
    <s v="venkatre@yahoo.com"/>
    <s v="9393073720"/>
    <s v="Hydrabad"/>
    <s v="Telangana"/>
    <x v="0"/>
    <s v="PROD-122"/>
    <x v="21"/>
    <x v="3"/>
    <s v="Travel"/>
    <x v="19"/>
    <n v="10"/>
    <n v="4800"/>
    <n v="12"/>
    <n v="18"/>
    <n v="49843.199999999997"/>
    <x v="1"/>
    <x v="0"/>
    <x v="0"/>
  </r>
  <r>
    <s v="ORD-1278"/>
    <x v="103"/>
    <s v="Unknown"/>
    <s v="CUST-278"/>
    <s v="user@hotmail.com"/>
    <s v="9165727232"/>
    <s v="Pune"/>
    <s v="Maharashtra"/>
    <x v="1"/>
    <s v="PROD-125"/>
    <x v="1"/>
    <x v="1"/>
    <s v="Gold"/>
    <x v="1"/>
    <n v="3"/>
    <n v="25000"/>
    <n v="25"/>
    <n v="3"/>
    <n v="57937.5"/>
    <x v="0"/>
    <x v="3"/>
    <x v="0"/>
  </r>
  <r>
    <s v="ORD-1279"/>
    <x v="18"/>
    <s v="Saranya M"/>
    <s v="CUST-279"/>
    <s v="gmail.com"/>
    <s v="7881671087"/>
    <s v="Kolkata"/>
    <s v="West Bengal"/>
    <x v="3"/>
    <s v="PROD-110"/>
    <x v="17"/>
    <x v="3"/>
    <s v="Traditional"/>
    <x v="16"/>
    <n v="8"/>
    <n v="0"/>
    <n v="5"/>
    <n v="5"/>
    <n v="0"/>
    <x v="5"/>
    <x v="3"/>
    <x v="0"/>
  </r>
  <r>
    <s v="ORD-1280"/>
    <x v="117"/>
    <s v="Rekha Pandey"/>
    <s v="CUST-280"/>
    <s v="rekhapan@yahoo.com"/>
    <s v="8113921661"/>
    <s v="Delhi"/>
    <s v="Delhi"/>
    <x v="2"/>
    <s v="PROD-122"/>
    <x v="21"/>
    <x v="3"/>
    <s v="Travel"/>
    <x v="19"/>
    <n v="3"/>
    <n v="4800"/>
    <n v="15"/>
    <n v="18"/>
    <n v="14443.199999999999"/>
    <x v="0"/>
    <x v="0"/>
    <x v="1"/>
  </r>
  <r>
    <s v="ORD-1281"/>
    <x v="81"/>
    <s v="Deepa Krishnan"/>
    <s v="MISSING"/>
    <s v="deepakri@outlook.com"/>
    <s v="9307532359"/>
    <s v="Bengaluru"/>
    <s v="Karnataka"/>
    <x v="0"/>
    <s v="PROD-116"/>
    <x v="24"/>
    <x v="3"/>
    <s v="Clothing"/>
    <x v="22"/>
    <n v="5"/>
    <n v="1200"/>
    <n v="0"/>
    <n v="5"/>
    <n v="6300"/>
    <x v="0"/>
    <x v="2"/>
    <x v="1"/>
  </r>
  <r>
    <s v="ORD-1282"/>
    <x v="23"/>
    <s v="Kavitha N"/>
    <s v="CUST-282"/>
    <s v="kavithan@hotmail.com"/>
    <s v="9738737735"/>
    <s v="Surat"/>
    <s v="Gujarat"/>
    <x v="1"/>
    <s v="PROD-123"/>
    <x v="11"/>
    <x v="4"/>
    <s v="Lighting"/>
    <x v="11"/>
    <n v="8"/>
    <n v="299"/>
    <n v="5"/>
    <n v="18"/>
    <n v="2681.4319999999998"/>
    <x v="2"/>
    <x v="2"/>
    <x v="0"/>
  </r>
  <r>
    <s v="ORD-1283"/>
    <x v="33"/>
    <s v="Deepa Krishnan"/>
    <s v="CUST-283"/>
    <s v="deepakri@yahoo.com"/>
    <s v="7757970136"/>
    <s v="Chennai"/>
    <s v="Tamil Nadu"/>
    <x v="0"/>
    <s v="PROD-111"/>
    <x v="25"/>
    <x v="4"/>
    <s v="Appliance"/>
    <x v="23"/>
    <n v="1"/>
    <n v="38000"/>
    <n v="5"/>
    <n v="18"/>
    <n v="42598"/>
    <x v="2"/>
    <x v="0"/>
    <x v="0"/>
  </r>
  <r>
    <s v="ORD-1284"/>
    <x v="130"/>
    <s v="Rashmi Verma"/>
    <s v="CUST-284"/>
    <s v="rashmive@rediffmail.com"/>
    <s v="7347310764"/>
    <s v="Delhi"/>
    <s v="Delhi"/>
    <x v="2"/>
    <s v="PROD-112"/>
    <x v="7"/>
    <x v="0"/>
    <s v="Snacks"/>
    <x v="7"/>
    <n v="9"/>
    <n v="50"/>
    <n v="8"/>
    <n v="5"/>
    <n v="434.70000000000005"/>
    <x v="2"/>
    <x v="1"/>
    <x v="0"/>
  </r>
  <r>
    <s v="ORD-1285"/>
    <x v="5"/>
    <s v="Aarav Shah"/>
    <s v="CUST-285"/>
    <s v="aaravsha@rediffmail.com"/>
    <s v="9251489188"/>
    <s v="Hydrabad"/>
    <s v="Telangana"/>
    <x v="0"/>
    <s v="PROD-117"/>
    <x v="14"/>
    <x v="0"/>
    <s v="Snacks"/>
    <x v="13"/>
    <n v="9"/>
    <n v="40"/>
    <n v="20"/>
    <n v="5"/>
    <n v="302.40000000000003"/>
    <x v="5"/>
    <x v="3"/>
    <x v="1"/>
  </r>
  <r>
    <s v="ORD-1286"/>
    <x v="41"/>
    <s v="Pooja Iyer"/>
    <s v="CUST-286"/>
    <s v="poojaiye@outlook.com"/>
    <s v="8460010103"/>
    <s v="Hydrabad"/>
    <s v="Telangana"/>
    <x v="2"/>
    <s v="PROD-108"/>
    <x v="0"/>
    <x v="0"/>
    <s v="Beverage"/>
    <x v="0"/>
    <n v="1"/>
    <n v="450"/>
    <n v="5"/>
    <n v="5"/>
    <n v="448.875"/>
    <x v="0"/>
    <x v="1"/>
    <x v="1"/>
  </r>
  <r>
    <s v="ORD-1287"/>
    <x v="7"/>
    <s v="Kavya Rao"/>
    <s v="CUST-287"/>
    <s v="kavyarao@rediffmail.com"/>
    <s v="7890129015"/>
    <s v="Visakhapatnam"/>
    <s v="Andhra Pradesh"/>
    <x v="0"/>
    <s v="PROD-108"/>
    <x v="0"/>
    <x v="0"/>
    <s v="Beverage"/>
    <x v="0"/>
    <n v="8"/>
    <n v="450"/>
    <n v="0"/>
    <n v="5"/>
    <n v="3780"/>
    <x v="5"/>
    <x v="3"/>
    <x v="1"/>
  </r>
  <r>
    <s v="ORD-1288"/>
    <x v="68"/>
    <s v="Nisha Patel"/>
    <s v="CUST-288"/>
    <s v="nishapat@gmail.com"/>
    <s v="7309641145"/>
    <s v="Bengaluru"/>
    <s v="Karnataka"/>
    <x v="0"/>
    <s v="PROD-105"/>
    <x v="19"/>
    <x v="2"/>
    <s v="Audio"/>
    <x v="18"/>
    <n v="9"/>
    <n v="1500"/>
    <n v="8"/>
    <n v="18"/>
    <n v="14655.599999999999"/>
    <x v="0"/>
    <x v="3"/>
    <x v="1"/>
  </r>
  <r>
    <s v="ORD-1289"/>
    <x v="141"/>
    <s v="Neha Singh"/>
    <s v="CUST-289"/>
    <s v="nehasing@hotmail.com"/>
    <s v="8601503399"/>
    <s v="Jaipur"/>
    <s v="Rajasthan"/>
    <x v="2"/>
    <s v="PROD-101"/>
    <x v="12"/>
    <x v="2"/>
    <s v="Television"/>
    <x v="4"/>
    <n v="5"/>
    <n v="35000"/>
    <n v="5"/>
    <n v="18"/>
    <n v="196175"/>
    <x v="3"/>
    <x v="1"/>
    <x v="1"/>
  </r>
  <r>
    <s v="ORD-1290"/>
    <x v="110"/>
    <s v="Kavya Rao"/>
    <s v="CUST-290"/>
    <s v="kavyarao@outlook.com"/>
    <s v="8402402094"/>
    <s v="Chennai"/>
    <s v="Tamil Nadu"/>
    <x v="0"/>
    <s v="PROD-115"/>
    <x v="2"/>
    <x v="2"/>
    <s v="Mobile"/>
    <x v="2"/>
    <n v="2"/>
    <n v="28000"/>
    <n v="20"/>
    <n v="18"/>
    <n v="52864"/>
    <x v="3"/>
    <x v="4"/>
    <x v="1"/>
  </r>
  <r>
    <s v="ORD-1291"/>
    <x v="101"/>
    <s v="Rohit Yadav"/>
    <s v="CUST-291"/>
    <s v="rohityad@gmail.com"/>
    <s v="7460102292"/>
    <s v="Pune"/>
    <s v="Maharashtra"/>
    <x v="1"/>
    <s v="PROD-118"/>
    <x v="5"/>
    <x v="4"/>
    <s v="Appliance"/>
    <x v="5"/>
    <n v="1"/>
    <n v="12000"/>
    <n v="0"/>
    <n v="18"/>
    <n v="14160"/>
    <x v="0"/>
    <x v="3"/>
    <x v="1"/>
  </r>
  <r>
    <s v="ORD-1292"/>
    <x v="64"/>
    <s v="Swati Gupta"/>
    <s v="CUST-292"/>
    <s v="swatigup@yahoo.com"/>
    <s v="7612816731"/>
    <s v="Kolkata"/>
    <s v="West Bengal"/>
    <x v="3"/>
    <s v="PROD-117"/>
    <x v="14"/>
    <x v="0"/>
    <s v="Snacks"/>
    <x v="13"/>
    <n v="3"/>
    <n v="40"/>
    <n v="20"/>
    <n v="5"/>
    <n v="100.80000000000001"/>
    <x v="3"/>
    <x v="3"/>
    <x v="0"/>
  </r>
  <r>
    <s v="ORD-1293"/>
    <x v="27"/>
    <s v="Arjun Mehta"/>
    <s v="CUST-293"/>
    <s v="arjunmeh@hotmail.com"/>
    <s v="8149340695"/>
    <s v="Mumbai"/>
    <s v="Maharashtra"/>
    <x v="1"/>
    <s v="PROD-125"/>
    <x v="1"/>
    <x v="1"/>
    <s v="Gold"/>
    <x v="1"/>
    <n v="2"/>
    <n v="25000"/>
    <n v="0"/>
    <n v="3"/>
    <n v="51500"/>
    <x v="4"/>
    <x v="2"/>
    <x v="1"/>
  </r>
  <r>
    <s v="ORD-1294"/>
    <x v="130"/>
    <s v="Sanjay Shah"/>
    <s v="CUST-294"/>
    <s v="sanjaysh@rediffmail.com"/>
    <s v="8293896030"/>
    <s v="Chennai"/>
    <s v="Tamil Nadu"/>
    <x v="0"/>
    <s v="PROD-106"/>
    <x v="16"/>
    <x v="4"/>
    <s v="Appliance"/>
    <x v="15"/>
    <n v="8"/>
    <n v="42000"/>
    <n v="80"/>
    <n v="18"/>
    <n v="79295.999999999985"/>
    <x v="2"/>
    <x v="3"/>
    <x v="0"/>
  </r>
  <r>
    <s v="ORD-1295"/>
    <x v="74"/>
    <s v="Ravi Shankar"/>
    <s v="CUST-295"/>
    <s v="ravishan@rediffmail.com"/>
    <s v="6574347710"/>
    <s v="Delhi"/>
    <s v="Delhi"/>
    <x v="2"/>
    <s v="PROD-113"/>
    <x v="18"/>
    <x v="3"/>
    <s v="Accessories"/>
    <x v="17"/>
    <n v="7"/>
    <n v="8500"/>
    <n v="15"/>
    <n v="18"/>
    <n v="59678.5"/>
    <x v="4"/>
    <x v="0"/>
    <x v="0"/>
  </r>
  <r>
    <s v="ORD-1296"/>
    <x v="119"/>
    <s v="Ravi Kumar"/>
    <s v="CUST-296"/>
    <s v="ravikuma@gmail.com"/>
    <s v="6828889415"/>
    <s v="Kolkata"/>
    <s v="West Bengal"/>
    <x v="3"/>
    <s v="PROD-101"/>
    <x v="12"/>
    <x v="2"/>
    <s v="Television"/>
    <x v="4"/>
    <n v="7"/>
    <n v="35000"/>
    <n v="0"/>
    <n v="18"/>
    <n v="289100"/>
    <x v="5"/>
    <x v="3"/>
    <x v="1"/>
  </r>
  <r>
    <s v="ORD-1297"/>
    <x v="142"/>
    <s v="Prasad P"/>
    <s v="CUST-297"/>
    <s v="prasadp@outlook.com"/>
    <s v="8369899340"/>
    <s v="Hydrabad"/>
    <s v="Telangana"/>
    <x v="0"/>
    <s v="PROD-101"/>
    <x v="12"/>
    <x v="2"/>
    <s v="Television"/>
    <x v="4"/>
    <n v="10"/>
    <n v="35000"/>
    <n v="15"/>
    <n v="18"/>
    <n v="351050"/>
    <x v="0"/>
    <x v="0"/>
    <x v="0"/>
  </r>
  <r>
    <s v="ORD-1298"/>
    <x v="112"/>
    <s v="Divya Nair"/>
    <s v="CUST-298"/>
    <s v="Not provided"/>
    <s v="6222749017"/>
    <s v="Bengaluru"/>
    <s v="Karnataka"/>
    <x v="0"/>
    <s v="PROD-120"/>
    <x v="4"/>
    <x v="2"/>
    <s v="Mobile"/>
    <x v="4"/>
    <n v="5"/>
    <n v="14000"/>
    <n v="12"/>
    <n v="18"/>
    <n v="72688"/>
    <x v="2"/>
    <x v="2"/>
    <x v="1"/>
  </r>
  <r>
    <s v="ORD-1299"/>
    <x v="117"/>
    <s v="Kiran Kumar"/>
    <s v="CUST-299"/>
    <s v="kirankum@yahoo.com"/>
    <s v="6269913445"/>
    <s v="Bengaluru"/>
    <s v="Karnataka"/>
    <x v="0"/>
    <s v="PROD-114"/>
    <x v="15"/>
    <x v="4"/>
    <s v="Kitchen"/>
    <x v="14"/>
    <n v="1"/>
    <n v="3200"/>
    <n v="25"/>
    <n v="18"/>
    <n v="2832"/>
    <x v="0"/>
    <x v="3"/>
    <x v="0"/>
  </r>
  <r>
    <s v="ORD-1300"/>
    <x v="22"/>
    <s v="Deepa Krishnan"/>
    <s v="CUST-300"/>
    <s v="deepakri@gmail.com"/>
    <s v="9822880514"/>
    <s v="Hydrabad"/>
    <s v="Telangana"/>
    <x v="0"/>
    <s v="PROD-101"/>
    <x v="12"/>
    <x v="2"/>
    <s v="Television"/>
    <x v="4"/>
    <n v="2"/>
    <n v="35000"/>
    <n v="10"/>
    <n v="18"/>
    <n v="74340"/>
    <x v="5"/>
    <x v="0"/>
    <x v="0"/>
  </r>
  <r>
    <s v="ORD-1301"/>
    <x v="49"/>
    <s v="Meera Nair"/>
    <s v="CUST-301"/>
    <s v="meeranai@rediffmail.com"/>
    <s v="8902436255"/>
    <s v="Chennai"/>
    <s v="Tamil Nadu"/>
    <x v="0"/>
    <s v="PROD-115"/>
    <x v="2"/>
    <x v="2"/>
    <s v="Mobile"/>
    <x v="2"/>
    <n v="1"/>
    <n v="28000"/>
    <n v="20"/>
    <n v="18"/>
    <n v="26432"/>
    <x v="1"/>
    <x v="3"/>
    <x v="1"/>
  </r>
  <r>
    <s v="ORD-1302"/>
    <x v="84"/>
    <s v="Priya Sharma"/>
    <s v="CUST-302"/>
    <s v="priyasha@outlook.com"/>
    <s v="9330728529"/>
    <s v="Hydrabad"/>
    <s v="Telangana"/>
    <x v="0"/>
    <s v="PROD-119"/>
    <x v="3"/>
    <x v="3"/>
    <s v="Accessories"/>
    <x v="3"/>
    <n v="4"/>
    <n v="3500"/>
    <n v="25"/>
    <n v="18"/>
    <n v="12390"/>
    <x v="1"/>
    <x v="3"/>
    <x v="0"/>
  </r>
  <r>
    <s v="ORD-1303"/>
    <x v="31"/>
    <s v="Unknown"/>
    <s v="CUST-303"/>
    <s v="user@hotmail.com"/>
    <s v="8484255247"/>
    <s v="Chennai"/>
    <s v="Tamil Nadu"/>
    <x v="0"/>
    <s v="PROD-120"/>
    <x v="4"/>
    <x v="2"/>
    <s v="Mobile"/>
    <x v="4"/>
    <n v="3"/>
    <n v="14000"/>
    <n v="20"/>
    <n v="18"/>
    <n v="39648"/>
    <x v="0"/>
    <x v="2"/>
    <x v="0"/>
  </r>
  <r>
    <s v="ORD-1304"/>
    <x v="8"/>
    <s v="Ravi Shankar"/>
    <s v="CUST-304"/>
    <s v="ravishan@gmail.com"/>
    <s v="6128924554"/>
    <s v="Lucknow"/>
    <s v="Uttar Pradesh"/>
    <x v="2"/>
    <s v="PROD-114"/>
    <x v="15"/>
    <x v="4"/>
    <s v="Kitchen"/>
    <x v="14"/>
    <n v="1"/>
    <n v="3200"/>
    <n v="10"/>
    <n v="18"/>
    <n v="3398.3999999999996"/>
    <x v="1"/>
    <x v="3"/>
    <x v="0"/>
  </r>
  <r>
    <s v="ORD-1305"/>
    <x v="143"/>
    <s v="Kavitha N"/>
    <s v="CUST-305"/>
    <s v="kavithan@yahoo.com"/>
    <s v="6476608276"/>
    <s v="Bengaluru"/>
    <s v="Karnataka"/>
    <x v="0"/>
    <s v="PROD-115"/>
    <x v="2"/>
    <x v="2"/>
    <s v="Mobile"/>
    <x v="2"/>
    <n v="1"/>
    <n v="28000"/>
    <n v="8"/>
    <n v="18"/>
    <n v="30396.799999999999"/>
    <x v="1"/>
    <x v="1"/>
    <x v="1"/>
  </r>
  <r>
    <s v="ORD-1306"/>
    <x v="120"/>
    <s v="Preethi S"/>
    <s v="CUST-306"/>
    <s v="preethis@rediffmail.com"/>
    <s v="7263505268"/>
    <s v="Pune"/>
    <s v="Maharashtra"/>
    <x v="1"/>
    <s v="PROD-108"/>
    <x v="0"/>
    <x v="0"/>
    <s v="Beverage"/>
    <x v="0"/>
    <n v="10"/>
    <n v="450"/>
    <n v="8"/>
    <n v="5"/>
    <n v="4347"/>
    <x v="1"/>
    <x v="3"/>
    <x v="1"/>
  </r>
  <r>
    <s v="ORD-1307"/>
    <x v="83"/>
    <s v="Suresh Kumar"/>
    <s v="CUST-307"/>
    <s v="sureshku@outlook.com"/>
    <s v="8125115553"/>
    <s v="Lucknow"/>
    <s v="Uttar Pradesh"/>
    <x v="2"/>
    <s v="PROD-121"/>
    <x v="13"/>
    <x v="0"/>
    <s v="Dairy"/>
    <x v="12"/>
    <n v="8"/>
    <n v="280"/>
    <n v="5"/>
    <n v="5"/>
    <n v="2234.4"/>
    <x v="5"/>
    <x v="3"/>
    <x v="0"/>
  </r>
  <r>
    <s v="ORD-1308"/>
    <x v="123"/>
    <s v="Venkat Reddy"/>
    <s v="CUST-308"/>
    <s v="venkatre@outlook.com"/>
    <s v="8200148905"/>
    <s v="Surat"/>
    <s v="Gujarat"/>
    <x v="1"/>
    <s v="PROD-121"/>
    <x v="13"/>
    <x v="0"/>
    <s v="Dairy"/>
    <x v="12"/>
    <n v="4"/>
    <n v="280"/>
    <n v="20"/>
    <n v="5"/>
    <n v="940.80000000000007"/>
    <x v="5"/>
    <x v="2"/>
    <x v="0"/>
  </r>
  <r>
    <s v="ORD-1309"/>
    <x v="143"/>
    <s v="Padma Lakshmi"/>
    <s v="CUST-309"/>
    <s v="padmalak@gmail.com"/>
    <s v="8899563887"/>
    <s v="Lucknow"/>
    <s v="Uttar Pradesh"/>
    <x v="2"/>
    <s v="PROD-115"/>
    <x v="2"/>
    <x v="2"/>
    <s v="Mobile"/>
    <x v="2"/>
    <n v="1"/>
    <n v="28000"/>
    <n v="5"/>
    <n v="18"/>
    <n v="31388"/>
    <x v="5"/>
    <x v="4"/>
    <x v="0"/>
  </r>
  <r>
    <s v="ORD-1310"/>
    <x v="33"/>
    <s v="Preethi S"/>
    <s v="CUST-310"/>
    <s v="preethis@yahoo.com"/>
    <s v="9375735416"/>
    <s v="Surat"/>
    <s v="Gujarat"/>
    <x v="1"/>
    <s v="PROD-125"/>
    <x v="1"/>
    <x v="1"/>
    <s v="Gold"/>
    <x v="1"/>
    <n v="1"/>
    <n v="25000"/>
    <n v="20"/>
    <n v="3"/>
    <n v="20600"/>
    <x v="1"/>
    <x v="3"/>
    <x v="1"/>
  </r>
  <r>
    <s v="ORD-1311"/>
    <x v="81"/>
    <s v="Kavitha N"/>
    <s v="CUST-311"/>
    <s v="kavithan@hotmail.com"/>
    <s v="7286932005"/>
    <s v="Hydrabad"/>
    <s v="Telangana"/>
    <x v="0"/>
    <s v="PROD-115"/>
    <x v="2"/>
    <x v="2"/>
    <s v="Mobile"/>
    <x v="2"/>
    <n v="7"/>
    <n v="28000"/>
    <n v="8"/>
    <n v="18"/>
    <n v="212777.59999999998"/>
    <x v="2"/>
    <x v="3"/>
    <x v="0"/>
  </r>
  <r>
    <s v="ORD-1312"/>
    <x v="144"/>
    <s v="Kiran Kumar"/>
    <s v="CUST-312"/>
    <s v="kirankum@gmail.com"/>
    <s v="9549682349"/>
    <s v="Bengaluru"/>
    <s v="Karnataka"/>
    <x v="0"/>
    <s v="PROD-105"/>
    <x v="19"/>
    <x v="2"/>
    <s v="Audio"/>
    <x v="18"/>
    <n v="10"/>
    <n v="1500"/>
    <n v="20"/>
    <n v="18"/>
    <n v="14160"/>
    <x v="1"/>
    <x v="1"/>
    <x v="0"/>
  </r>
  <r>
    <s v="ORD-1313"/>
    <x v="91"/>
    <s v="Dinesh K"/>
    <s v="CUST-313"/>
    <s v="dineshk@yahoo.com"/>
    <s v="8855262673"/>
    <s v="Mumbai"/>
    <s v="Maharashtra"/>
    <x v="4"/>
    <s v="PROD-103"/>
    <x v="23"/>
    <x v="3"/>
    <s v="Footwear"/>
    <x v="21"/>
    <n v="9"/>
    <n v="4500"/>
    <n v="20"/>
    <n v="5"/>
    <n v="34020"/>
    <x v="0"/>
    <x v="3"/>
    <x v="1"/>
  </r>
  <r>
    <s v="ORD-1314"/>
    <x v="3"/>
    <s v="Venkat Reddy"/>
    <s v="CUST-314"/>
    <s v="venkatre@hotmail.com"/>
    <s v="9403103542"/>
    <s v="Kolkata"/>
    <s v="West Bengal"/>
    <x v="3"/>
    <s v="PROD-110"/>
    <x v="17"/>
    <x v="3"/>
    <s v="Traditional"/>
    <x v="16"/>
    <n v="1"/>
    <n v="3500"/>
    <n v="10"/>
    <n v="5"/>
    <n v="3307.5"/>
    <x v="3"/>
    <x v="3"/>
    <x v="0"/>
  </r>
  <r>
    <s v="ORD-1315"/>
    <x v="56"/>
    <s v="Sita Devi"/>
    <s v="CUST-315"/>
    <s v="sitadevi@yahoo.com"/>
    <s v="9272167208"/>
    <s v="Visakhapatnam"/>
    <s v="Andhra Pradesh"/>
    <x v="0"/>
    <s v="PROD-106"/>
    <x v="16"/>
    <x v="4"/>
    <s v="Appliance"/>
    <x v="15"/>
    <n v="7"/>
    <n v="42000"/>
    <n v="0"/>
    <n v="18"/>
    <n v="346920"/>
    <x v="2"/>
    <x v="2"/>
    <x v="1"/>
  </r>
  <r>
    <s v="ORD-1316"/>
    <x v="58"/>
    <s v="Kavitha N"/>
    <s v="CUST-316"/>
    <s v="kavithan@yahoo.com"/>
    <s v="8082025057"/>
    <s v="Bengaluru"/>
    <s v="Karnataka"/>
    <x v="0"/>
    <s v="PROD-103"/>
    <x v="23"/>
    <x v="3"/>
    <s v="Footwear"/>
    <x v="21"/>
    <n v="3"/>
    <n v="4500"/>
    <n v="25"/>
    <n v="5"/>
    <n v="10631.25"/>
    <x v="0"/>
    <x v="3"/>
    <x v="0"/>
  </r>
  <r>
    <s v="ORD-1317"/>
    <x v="118"/>
    <s v="Rashmi Verma"/>
    <s v="CUST-317"/>
    <s v="rashmive@rediffmail.com"/>
    <s v="9592745045"/>
    <s v="Delhi"/>
    <s v="Delhi"/>
    <x v="2"/>
    <s v="PROD-122"/>
    <x v="21"/>
    <x v="3"/>
    <s v="Travel"/>
    <x v="19"/>
    <n v="1"/>
    <n v="4800"/>
    <n v="20"/>
    <n v="18"/>
    <n v="4531.2"/>
    <x v="3"/>
    <x v="3"/>
    <x v="0"/>
  </r>
  <r>
    <s v="ORD-1318"/>
    <x v="145"/>
    <s v="Deepika Rao"/>
    <s v="CUST-318"/>
    <s v="deepikar@gmail.com"/>
    <s v="7405061904"/>
    <s v="Bengaluru"/>
    <s v="Karnataka"/>
    <x v="0"/>
    <s v="PROD-110"/>
    <x v="17"/>
    <x v="3"/>
    <s v="Traditional"/>
    <x v="16"/>
    <n v="4"/>
    <n v="3500"/>
    <n v="80"/>
    <n v="5"/>
    <n v="2939.9999999999995"/>
    <x v="2"/>
    <x v="2"/>
    <x v="0"/>
  </r>
  <r>
    <s v="ORD-1319"/>
    <x v="100"/>
    <s v="Kiran Kumar"/>
    <s v="CUST-319"/>
    <s v="kirankum@hotmail.com"/>
    <s v="6437286028"/>
    <s v="Chennai"/>
    <s v="Tamil Nadu"/>
    <x v="0"/>
    <s v="PROD-120"/>
    <x v="4"/>
    <x v="2"/>
    <s v="Mobile"/>
    <x v="4"/>
    <n v="4"/>
    <n v="0"/>
    <n v="0"/>
    <n v="18"/>
    <n v="0"/>
    <x v="4"/>
    <x v="0"/>
    <x v="0"/>
  </r>
  <r>
    <s v="ORD-1320"/>
    <x v="144"/>
    <s v="Mohan Lal"/>
    <s v="CUST-320"/>
    <s v="mohanlal@gmail.com"/>
    <s v="9851638315"/>
    <s v="Bengaluru"/>
    <s v="Karnataka"/>
    <x v="0"/>
    <s v="PROD-104"/>
    <x v="22"/>
    <x v="4"/>
    <s v="Kitchen"/>
    <x v="20"/>
    <n v="3"/>
    <n v="2200"/>
    <n v="25"/>
    <n v="12"/>
    <n v="5544.0000000000009"/>
    <x v="3"/>
    <x v="3"/>
    <x v="1"/>
  </r>
  <r>
    <s v="ORD-1321"/>
    <x v="50"/>
    <s v="Arjun Mehta"/>
    <s v="CUST-321"/>
    <s v="arjunmeh@yahoo.com"/>
    <s v="7040451458"/>
    <s v="Jaipur"/>
    <s v="Rajasthan"/>
    <x v="2"/>
    <s v="PROD-114"/>
    <x v="15"/>
    <x v="4"/>
    <s v="Kitchen"/>
    <x v="14"/>
    <n v="5"/>
    <n v="3200"/>
    <n v="25"/>
    <n v="18"/>
    <n v="14160"/>
    <x v="2"/>
    <x v="3"/>
    <x v="1"/>
  </r>
  <r>
    <s v="ORD-1322"/>
    <x v="146"/>
    <s v="Sanjay Shah"/>
    <s v="CUST-322"/>
    <s v="sanjaysh@gmail.com"/>
    <s v="6705056722"/>
    <s v="Chennai"/>
    <s v="Tamil Nadu"/>
    <x v="4"/>
    <s v="PROD-122"/>
    <x v="21"/>
    <x v="3"/>
    <s v="Travel"/>
    <x v="19"/>
    <n v="1"/>
    <n v="4800"/>
    <n v="10"/>
    <n v="18"/>
    <n v="5097.5999999999995"/>
    <x v="3"/>
    <x v="2"/>
    <x v="0"/>
  </r>
  <r>
    <s v="ORD-1323"/>
    <x v="139"/>
    <s v="Divya Nair"/>
    <s v="CUST-323"/>
    <s v="divyanai@gmail.com"/>
    <s v="8556293060"/>
    <s v="Ahmedabad"/>
    <s v="Gujarat"/>
    <x v="1"/>
    <s v="PROD-120"/>
    <x v="4"/>
    <x v="2"/>
    <s v="Mobile"/>
    <x v="4"/>
    <n v="5"/>
    <n v="14000"/>
    <n v="20"/>
    <n v="18"/>
    <n v="66080"/>
    <x v="0"/>
    <x v="1"/>
    <x v="0"/>
  </r>
  <r>
    <s v="ORD-1324"/>
    <x v="125"/>
    <s v="Mohan Lal"/>
    <s v="CUST-324"/>
    <s v="mohanlal@rediffmail.com"/>
    <s v="9958255823"/>
    <s v="Chennai"/>
    <s v="Tamil Nadu"/>
    <x v="0"/>
    <s v="PROD-106"/>
    <x v="16"/>
    <x v="4"/>
    <s v="Appliance"/>
    <x v="15"/>
    <n v="10"/>
    <n v="42000"/>
    <n v="80"/>
    <n v="18"/>
    <n v="99119.999999999971"/>
    <x v="0"/>
    <x v="3"/>
    <x v="1"/>
  </r>
  <r>
    <s v="ORD-1325"/>
    <x v="147"/>
    <s v="Arjun Mehta"/>
    <s v="CUST-325"/>
    <s v="arjunmeh@hotmail.com"/>
    <s v="7062638465"/>
    <s v="Visakhapatnam"/>
    <s v="Andhra Pradesh"/>
    <x v="0"/>
    <s v="PROD-106"/>
    <x v="16"/>
    <x v="4"/>
    <s v="Appliance"/>
    <x v="15"/>
    <n v="6"/>
    <n v="42000"/>
    <n v="20"/>
    <n v="18"/>
    <n v="237888"/>
    <x v="1"/>
    <x v="3"/>
    <x v="0"/>
  </r>
  <r>
    <s v="ORD-1326"/>
    <x v="0"/>
    <s v="Dinesh K"/>
    <s v="CUST-326"/>
    <s v="dineshk@gmail.com"/>
    <s v="9425382217"/>
    <s v="Bengaluru"/>
    <s v="Karnataka"/>
    <x v="0"/>
    <s v="PROD-106"/>
    <x v="16"/>
    <x v="2"/>
    <s v="Appliance"/>
    <x v="15"/>
    <n v="10"/>
    <n v="42000"/>
    <n v="8"/>
    <n v="18"/>
    <n v="455952"/>
    <x v="5"/>
    <x v="0"/>
    <x v="1"/>
  </r>
  <r>
    <s v="ORD-1327"/>
    <x v="97"/>
    <s v="Aarav Shah"/>
    <s v="CUST-327"/>
    <s v="aaravsha@yahoo.com"/>
    <s v="6784816771"/>
    <s v="Chennai"/>
    <s v="Tamil Nadu"/>
    <x v="0"/>
    <s v="PROD-107"/>
    <x v="10"/>
    <x v="3"/>
    <s v="Clothing"/>
    <x v="10"/>
    <n v="1"/>
    <n v="2500"/>
    <n v="12"/>
    <n v="5"/>
    <n v="2310"/>
    <x v="3"/>
    <x v="0"/>
    <x v="0"/>
  </r>
  <r>
    <s v="ORD-1328"/>
    <x v="56"/>
    <s v="Divya Nair"/>
    <s v="CUST-328"/>
    <s v="divyanai@rediffmail.com"/>
    <s v="8233701335"/>
    <s v="Surat"/>
    <s v="Gujarat"/>
    <x v="1"/>
    <s v="PROD-114"/>
    <x v="15"/>
    <x v="4"/>
    <s v="Kitchen"/>
    <x v="14"/>
    <n v="2"/>
    <n v="3200"/>
    <n v="10"/>
    <n v="18"/>
    <n v="6796.7999999999993"/>
    <x v="1"/>
    <x v="4"/>
    <x v="0"/>
  </r>
  <r>
    <s v="ORD-1329"/>
    <x v="108"/>
    <s v="Anita Verma"/>
    <s v="CUST-329"/>
    <s v="anitaver@rediffmail.com"/>
    <s v="9500620658"/>
    <s v="Mumbai"/>
    <s v="Maharashtra"/>
    <x v="1"/>
    <s v="PROD-111"/>
    <x v="25"/>
    <x v="4"/>
    <s v="Appliance"/>
    <x v="23"/>
    <n v="6"/>
    <n v="38000"/>
    <n v="0"/>
    <n v="18"/>
    <n v="269040"/>
    <x v="1"/>
    <x v="3"/>
    <x v="1"/>
  </r>
  <r>
    <s v="ORD-1330"/>
    <x v="25"/>
    <s v="Vijay Patel"/>
    <s v="CUST-330"/>
    <s v="vijaypat@outlook.com"/>
    <s v="9736014761"/>
    <s v="Kochi"/>
    <s v="Kerala"/>
    <x v="0"/>
    <s v="PROD-122"/>
    <x v="21"/>
    <x v="3"/>
    <s v="Travel"/>
    <x v="19"/>
    <n v="1"/>
    <n v="4800"/>
    <n v="25"/>
    <n v="18"/>
    <n v="4248"/>
    <x v="5"/>
    <x v="3"/>
    <x v="1"/>
  </r>
  <r>
    <s v="ORD-1331"/>
    <x v="86"/>
    <s v="Deepika Rao"/>
    <s v="CUST-331"/>
    <s v="deepikar@outlook.com"/>
    <s v="6946507856"/>
    <s v="Bengaluru"/>
    <s v="Karnataka"/>
    <x v="0"/>
    <s v="PROD-123"/>
    <x v="11"/>
    <x v="4"/>
    <s v="Lighting"/>
    <x v="11"/>
    <n v="9"/>
    <n v="299"/>
    <n v="25"/>
    <n v="18"/>
    <n v="2381.5349999999999"/>
    <x v="2"/>
    <x v="2"/>
    <x v="1"/>
  </r>
  <r>
    <s v="ORD-1332"/>
    <x v="86"/>
    <s v="Lakshmi Devi"/>
    <s v="CUST-332"/>
    <s v="lakshmid@gmail.com"/>
    <s v="7461310436"/>
    <s v="Mumbai"/>
    <s v="Maharashtra"/>
    <x v="1"/>
    <s v="PROD-122"/>
    <x v="21"/>
    <x v="3"/>
    <s v="Travel"/>
    <x v="19"/>
    <n v="2"/>
    <n v="4800"/>
    <n v="5"/>
    <n v="18"/>
    <n v="10761.599999999999"/>
    <x v="0"/>
    <x v="0"/>
    <x v="1"/>
  </r>
  <r>
    <s v="ORD-1333"/>
    <x v="78"/>
    <s v="Saranya M"/>
    <s v="CUST-333"/>
    <s v="Not provided"/>
    <s v="7274847434"/>
    <s v="Pune"/>
    <s v="Maharashtra"/>
    <x v="1"/>
    <s v="PROD-104"/>
    <x v="22"/>
    <x v="4"/>
    <s v="Kitchen"/>
    <x v="20"/>
    <n v="1"/>
    <n v="2200"/>
    <n v="20"/>
    <n v="12"/>
    <n v="1971.2000000000003"/>
    <x v="3"/>
    <x v="2"/>
    <x v="0"/>
  </r>
  <r>
    <s v="ORD-1334"/>
    <x v="132"/>
    <s v="Rekha Pandey"/>
    <s v="CUST-334"/>
    <s v="rekhapan@yahoo.com"/>
    <s v="9717001674"/>
    <s v="Mumbai"/>
    <s v="Maharashtra"/>
    <x v="1"/>
    <s v="PROD-105"/>
    <x v="19"/>
    <x v="2"/>
    <s v="Audio"/>
    <x v="18"/>
    <n v="1"/>
    <n v="1500"/>
    <n v="25"/>
    <n v="18"/>
    <n v="1327.5"/>
    <x v="0"/>
    <x v="3"/>
    <x v="0"/>
  </r>
  <r>
    <s v="ORD-1335"/>
    <x v="145"/>
    <s v="Manish Tiwari"/>
    <s v="CUST-335"/>
    <s v="manishti@rediffmail.com"/>
    <s v="9047655254"/>
    <s v="Mumbai"/>
    <s v="Maharashtra"/>
    <x v="1"/>
    <s v="PROD-110"/>
    <x v="17"/>
    <x v="3"/>
    <s v="Traditional"/>
    <x v="16"/>
    <n v="9"/>
    <n v="3500"/>
    <n v="20"/>
    <n v="5"/>
    <n v="26460"/>
    <x v="0"/>
    <x v="2"/>
    <x v="1"/>
  </r>
  <r>
    <s v="ORD-1336"/>
    <x v="128"/>
    <s v="Sita Devi"/>
    <s v="CUST-336"/>
    <s v="sitadevi@hotmail.com"/>
    <s v="8213777230"/>
    <s v="Hydrabad"/>
    <s v="Telangana"/>
    <x v="0"/>
    <s v="PROD-119"/>
    <x v="3"/>
    <x v="3"/>
    <s v="Accessories"/>
    <x v="3"/>
    <n v="4"/>
    <n v="3500"/>
    <n v="5"/>
    <n v="18"/>
    <n v="15694"/>
    <x v="0"/>
    <x v="0"/>
    <x v="0"/>
  </r>
  <r>
    <s v="ORD-1337"/>
    <x v="66"/>
    <s v="Preethi S"/>
    <s v="CUST-337"/>
    <s v="preethis@gmail.com"/>
    <s v="9901885221"/>
    <s v="Bengaluru"/>
    <s v="Karnataka"/>
    <x v="0"/>
    <s v="PROD-105"/>
    <x v="19"/>
    <x v="2"/>
    <s v="Audio"/>
    <x v="18"/>
    <n v="8"/>
    <n v="1500"/>
    <n v="5"/>
    <n v="18"/>
    <n v="13452"/>
    <x v="4"/>
    <x v="0"/>
    <x v="0"/>
  </r>
  <r>
    <s v="ORD-1338"/>
    <x v="137"/>
    <s v="Arun Sharma"/>
    <s v="CUST-338"/>
    <s v="arunshar@yahoo.com"/>
    <s v="6775946689"/>
    <s v="Ahmedabad"/>
    <s v="Gujarat"/>
    <x v="1"/>
    <s v="PROD-109"/>
    <x v="8"/>
    <x v="2"/>
    <s v="Computer"/>
    <x v="8"/>
    <n v="7"/>
    <n v="55000"/>
    <n v="8"/>
    <n v="18"/>
    <n v="417956"/>
    <x v="5"/>
    <x v="2"/>
    <x v="0"/>
  </r>
  <r>
    <s v="ORD-1339"/>
    <x v="64"/>
    <s v="Dinesh K"/>
    <s v="CUST-339"/>
    <s v="dineshk@rediffmail.com"/>
    <s v="8293952330"/>
    <s v="Kolkata"/>
    <s v="West Bengal"/>
    <x v="1"/>
    <s v="PROD-111"/>
    <x v="25"/>
    <x v="4"/>
    <s v="Appliance"/>
    <x v="23"/>
    <n v="9"/>
    <n v="38000"/>
    <n v="12"/>
    <n v="18"/>
    <n v="355132.8"/>
    <x v="2"/>
    <x v="3"/>
    <x v="0"/>
  </r>
  <r>
    <s v="ORD-1340"/>
    <x v="118"/>
    <s v="Prasad P"/>
    <s v="CUST-340"/>
    <s v="prasadp@rediffmail.com"/>
    <s v="7119588195"/>
    <s v="Chennai"/>
    <s v="Tamil Nadu"/>
    <x v="0"/>
    <s v="PROD-123"/>
    <x v="11"/>
    <x v="4"/>
    <s v="Lighting"/>
    <x v="11"/>
    <n v="9"/>
    <n v="299"/>
    <n v="10"/>
    <n v="18"/>
    <n v="2857.8420000000001"/>
    <x v="3"/>
    <x v="1"/>
    <x v="1"/>
  </r>
  <r>
    <s v="ORD-1341"/>
    <x v="114"/>
    <s v="Suresh Babu"/>
    <s v="CUST-341"/>
    <s v="sureshba@hotmail.com"/>
    <s v="7062994474"/>
    <s v="Kolkata"/>
    <s v="West Bengal"/>
    <x v="3"/>
    <s v="PROD-103"/>
    <x v="23"/>
    <x v="3"/>
    <s v="Footwear"/>
    <x v="21"/>
    <n v="4"/>
    <n v="4500"/>
    <n v="10"/>
    <n v="5"/>
    <n v="17010"/>
    <x v="5"/>
    <x v="1"/>
    <x v="0"/>
  </r>
  <r>
    <s v="ORD-1342"/>
    <x v="52"/>
    <s v="Meera Nair"/>
    <s v="CUST-342"/>
    <s v="meeranai@hotmail.com"/>
    <s v="8457400192"/>
    <s v="Surat"/>
    <s v="Gujarat"/>
    <x v="1"/>
    <s v="PROD-104"/>
    <x v="22"/>
    <x v="4"/>
    <s v="Kitchen"/>
    <x v="20"/>
    <n v="6"/>
    <n v="2200"/>
    <n v="5"/>
    <n v="12"/>
    <n v="14044.800000000001"/>
    <x v="5"/>
    <x v="2"/>
    <x v="0"/>
  </r>
  <r>
    <s v="ORD-1343"/>
    <x v="79"/>
    <s v="Rahul Gupta"/>
    <s v="CUST-343"/>
    <s v="rahulgup@outlook.com"/>
    <s v="7589785135"/>
    <s v="Chennai"/>
    <s v="Tamil Nadu"/>
    <x v="0"/>
    <s v="PROD-104"/>
    <x v="22"/>
    <x v="4"/>
    <s v="Kitchen"/>
    <x v="20"/>
    <n v="6"/>
    <n v="2200"/>
    <n v="20"/>
    <n v="12"/>
    <n v="11827.2"/>
    <x v="3"/>
    <x v="0"/>
    <x v="0"/>
  </r>
  <r>
    <s v="ORD-1344"/>
    <x v="120"/>
    <s v="Vijay Patel"/>
    <s v="CUST-344"/>
    <s v="vijaypat@yahoo.com"/>
    <s v="6246580623"/>
    <s v="Kolkata"/>
    <s v="West Bengal"/>
    <x v="3"/>
    <s v="PROD-115"/>
    <x v="2"/>
    <x v="2"/>
    <s v="Mobile"/>
    <x v="2"/>
    <n v="5"/>
    <n v="28000"/>
    <n v="10"/>
    <n v="18"/>
    <n v="148680"/>
    <x v="0"/>
    <x v="3"/>
    <x v="1"/>
  </r>
  <r>
    <s v="ORD-1345"/>
    <x v="67"/>
    <s v="Rohit Yadav"/>
    <s v="CUST-345"/>
    <s v="rohityad@rediffmail.com"/>
    <s v="7926945825"/>
    <s v="Jaipur"/>
    <s v="Rajasthan"/>
    <x v="2"/>
    <s v="PROD-116"/>
    <x v="20"/>
    <x v="3"/>
    <s v="Clothing"/>
    <x v="22"/>
    <n v="3"/>
    <n v="1200"/>
    <n v="5"/>
    <n v="5"/>
    <n v="3591"/>
    <x v="1"/>
    <x v="3"/>
    <x v="1"/>
  </r>
  <r>
    <s v="ORD-1346"/>
    <x v="148"/>
    <s v="Pooja Iyer"/>
    <s v="CUST-346"/>
    <s v="poojaiye@rediffmail.com"/>
    <s v="9990492791"/>
    <s v="Delhi"/>
    <s v="Delhi"/>
    <x v="2"/>
    <s v="PROD-106"/>
    <x v="16"/>
    <x v="4"/>
    <s v="Appliance"/>
    <x v="15"/>
    <n v="7"/>
    <n v="42000"/>
    <n v="10"/>
    <n v="18"/>
    <n v="312228"/>
    <x v="4"/>
    <x v="4"/>
    <x v="0"/>
  </r>
  <r>
    <s v="ORD-1347"/>
    <x v="29"/>
    <s v="Unknown"/>
    <s v="CUST-347"/>
    <s v="@yahoo.com"/>
    <s v="7607646915"/>
    <s v="Mumbai"/>
    <s v="Maharashtra"/>
    <x v="1"/>
    <s v="PROD-120"/>
    <x v="4"/>
    <x v="2"/>
    <s v="Mobile"/>
    <x v="4"/>
    <n v="1"/>
    <n v="14000"/>
    <n v="80"/>
    <n v="18"/>
    <n v="3303.9999999999991"/>
    <x v="5"/>
    <x v="1"/>
    <x v="1"/>
  </r>
  <r>
    <s v="ORD-1348"/>
    <x v="149"/>
    <s v="Sita Devi"/>
    <s v="CUST-348"/>
    <s v="sitadevi@outlook.com"/>
    <s v="8128446595"/>
    <s v="Kochi"/>
    <s v="Kerala"/>
    <x v="0"/>
    <s v="PROD-106"/>
    <x v="16"/>
    <x v="4"/>
    <s v="Appliance"/>
    <x v="15"/>
    <n v="8"/>
    <n v="42000"/>
    <n v="10"/>
    <n v="18"/>
    <n v="356832"/>
    <x v="0"/>
    <x v="3"/>
    <x v="0"/>
  </r>
  <r>
    <s v="ORD-1349"/>
    <x v="41"/>
    <s v="Kavya Rao"/>
    <s v="CUST-349"/>
    <s v="kavyarao@outlook.com"/>
    <s v="7842334552"/>
    <s v="Lucknow"/>
    <s v="Uttar Pradesh"/>
    <x v="2"/>
    <s v="PROD-125"/>
    <x v="1"/>
    <x v="1"/>
    <s v="Gold"/>
    <x v="1"/>
    <n v="7"/>
    <n v="25000"/>
    <n v="15"/>
    <n v="3"/>
    <n v="153212.5"/>
    <x v="2"/>
    <x v="3"/>
    <x v="1"/>
  </r>
  <r>
    <s v="ORD-1350"/>
    <x v="6"/>
    <s v="Vijay Patel"/>
    <s v="CUST-350"/>
    <s v="vijaypat@gmail.com"/>
    <s v="6627963449"/>
    <s v="Kolkata"/>
    <s v="West Bengal"/>
    <x v="3"/>
    <s v="PROD-117"/>
    <x v="14"/>
    <x v="0"/>
    <s v="Snacks"/>
    <x v="13"/>
    <n v="4"/>
    <n v="40"/>
    <n v="5"/>
    <n v="5"/>
    <n v="159.6"/>
    <x v="0"/>
    <x v="0"/>
    <x v="0"/>
  </r>
  <r>
    <s v="ORD-1351"/>
    <x v="93"/>
    <s v="Swati Gupta"/>
    <s v="CUST-351"/>
    <s v="swatigup@gmail.com"/>
    <s v="6910436665"/>
    <s v="Hydrabad"/>
    <s v="Telangana"/>
    <x v="0"/>
    <s v="PROD-103"/>
    <x v="23"/>
    <x v="3"/>
    <s v="Footwear"/>
    <x v="21"/>
    <n v="4"/>
    <n v="4500"/>
    <n v="0"/>
    <n v="5"/>
    <n v="18900"/>
    <x v="1"/>
    <x v="3"/>
    <x v="0"/>
  </r>
  <r>
    <s v="ORD-1352"/>
    <x v="45"/>
    <s v="Rahul Gupta"/>
    <s v="CUST-352"/>
    <s v="rahulgup@hotmail.com"/>
    <s v="8703933724"/>
    <s v="Mumbai"/>
    <s v="Maharashtra"/>
    <x v="1"/>
    <s v="PROD-120"/>
    <x v="4"/>
    <x v="2"/>
    <s v="Mobile"/>
    <x v="4"/>
    <n v="5"/>
    <n v="14000"/>
    <n v="8"/>
    <n v="18"/>
    <n v="75992"/>
    <x v="0"/>
    <x v="2"/>
    <x v="0"/>
  </r>
  <r>
    <s v="ORD-1353"/>
    <x v="55"/>
    <s v="Dinesh K"/>
    <s v="CUST-353"/>
    <s v="dineshk@gmail.com"/>
    <s v="7799609152"/>
    <s v="Bengaluru"/>
    <s v="Karnataka"/>
    <x v="4"/>
    <s v="PROD-107"/>
    <x v="10"/>
    <x v="3"/>
    <s v="Clothing"/>
    <x v="10"/>
    <n v="6"/>
    <n v="2500"/>
    <n v="8"/>
    <n v="5"/>
    <n v="14490"/>
    <x v="4"/>
    <x v="2"/>
    <x v="0"/>
  </r>
  <r>
    <s v="ORD-1354"/>
    <x v="150"/>
    <s v="Deepika Rao"/>
    <s v="CUST-354"/>
    <s v="deepikar@outlook.com"/>
    <s v="716934628"/>
    <s v="Delhi"/>
    <s v="Delhi"/>
    <x v="2"/>
    <s v="PROD-106"/>
    <x v="16"/>
    <x v="4"/>
    <s v="Appliance"/>
    <x v="15"/>
    <n v="10"/>
    <n v="42000"/>
    <n v="25"/>
    <n v="18"/>
    <n v="371700"/>
    <x v="3"/>
    <x v="3"/>
    <x v="1"/>
  </r>
  <r>
    <s v="ORD-1355"/>
    <x v="43"/>
    <s v="Saranya M"/>
    <s v="CUST-355"/>
    <s v="saranyam@yahoo.com"/>
    <s v="786542187"/>
    <s v="Hydrabad"/>
    <s v="Telangana"/>
    <x v="0"/>
    <s v="PROD-117"/>
    <x v="14"/>
    <x v="0"/>
    <s v="Snacks"/>
    <x v="13"/>
    <n v="4"/>
    <n v="40"/>
    <n v="10"/>
    <n v="5"/>
    <n v="151.20000000000002"/>
    <x v="4"/>
    <x v="1"/>
    <x v="1"/>
  </r>
  <r>
    <s v="ORD-1356"/>
    <x v="117"/>
    <s v="Dinesh K"/>
    <s v="CUST-356"/>
    <s v="dineshk@outlook.com"/>
    <s v="8366002146"/>
    <s v="Kochi"/>
    <s v="Kerala"/>
    <x v="0"/>
    <s v="PROD-123"/>
    <x v="11"/>
    <x v="4"/>
    <s v="Lighting"/>
    <x v="11"/>
    <n v="5"/>
    <n v="299"/>
    <n v="10"/>
    <n v="18"/>
    <n v="1587.6899999999998"/>
    <x v="1"/>
    <x v="2"/>
    <x v="1"/>
  </r>
  <r>
    <s v="ORD-1357"/>
    <x v="97"/>
    <s v="Sanjay Shah"/>
    <s v="CUST-357"/>
    <s v="@gmail"/>
    <s v="8952218016"/>
    <s v="Hydrabad"/>
    <s v="Telangana"/>
    <x v="0"/>
    <s v="PROD-109"/>
    <x v="8"/>
    <x v="2"/>
    <s v="Computer"/>
    <x v="8"/>
    <n v="8"/>
    <n v="55000"/>
    <n v="5"/>
    <n v="18"/>
    <n v="493240"/>
    <x v="3"/>
    <x v="0"/>
    <x v="0"/>
  </r>
  <r>
    <s v="ORD-1358"/>
    <x v="123"/>
    <s v="Dinesh K"/>
    <s v="CUST-358"/>
    <s v="dineshk@rediffmail.com"/>
    <s v="Not provided"/>
    <s v="Pune"/>
    <s v="Maharashtra"/>
    <x v="1"/>
    <s v="PROD-103"/>
    <x v="23"/>
    <x v="3"/>
    <s v="Footwear"/>
    <x v="21"/>
    <n v="9"/>
    <n v="0"/>
    <n v="80"/>
    <n v="5"/>
    <n v="0"/>
    <x v="1"/>
    <x v="1"/>
    <x v="0"/>
  </r>
  <r>
    <s v="ORD-1359"/>
    <x v="151"/>
    <s v="Ravi Kumar"/>
    <s v="CUST-359"/>
    <s v="ravikuma@yahoo.com"/>
    <s v="Not provided"/>
    <s v="Bengaluru"/>
    <s v="Karnataka"/>
    <x v="0"/>
    <s v="PROD-111"/>
    <x v="25"/>
    <x v="4"/>
    <s v="Appliance"/>
    <x v="23"/>
    <n v="8"/>
    <n v="38000"/>
    <n v="12"/>
    <n v="18"/>
    <n v="315673.59999999998"/>
    <x v="5"/>
    <x v="2"/>
    <x v="1"/>
  </r>
  <r>
    <s v="ORD-1360"/>
    <x v="73"/>
    <s v="Swati Gupta"/>
    <s v="CUST-360"/>
    <s v="swatigup@rediffmail.com"/>
    <s v="9835910672"/>
    <s v="Visakhapatnam"/>
    <s v="Andhra Pradesh"/>
    <x v="0"/>
    <s v="PROD-121"/>
    <x v="13"/>
    <x v="0"/>
    <s v="Dairy"/>
    <x v="12"/>
    <n v="2"/>
    <n v="280"/>
    <n v="12"/>
    <n v="5"/>
    <n v="517.44000000000005"/>
    <x v="5"/>
    <x v="3"/>
    <x v="0"/>
  </r>
  <r>
    <s v="ORD-1361"/>
    <x v="152"/>
    <s v="Sita Devi"/>
    <s v="CUST-361"/>
    <s v="sitadevi@outlook.com"/>
    <s v="6547761887"/>
    <s v="Kolkata"/>
    <s v="West Bengal"/>
    <x v="3"/>
    <s v="PROD-112"/>
    <x v="7"/>
    <x v="0"/>
    <s v="Snacks"/>
    <x v="7"/>
    <n v="5"/>
    <n v="50"/>
    <n v="8"/>
    <n v="5"/>
    <n v="241.5"/>
    <x v="3"/>
    <x v="3"/>
    <x v="1"/>
  </r>
  <r>
    <s v="ORD-1362"/>
    <x v="22"/>
    <s v="Manish Tiwari"/>
    <s v="CUST-362"/>
    <s v="manishti@yahoo.com"/>
    <s v="6012309827"/>
    <s v="Visakhapatnam"/>
    <s v="Andhra Pradesh"/>
    <x v="0"/>
    <s v="PROD-116"/>
    <x v="24"/>
    <x v="3"/>
    <s v="Clothing"/>
    <x v="22"/>
    <n v="6"/>
    <n v="1200"/>
    <n v="25"/>
    <n v="5"/>
    <n v="5670"/>
    <x v="0"/>
    <x v="3"/>
    <x v="1"/>
  </r>
  <r>
    <s v="ORD-1363"/>
    <x v="96"/>
    <s v="Sanjay Shah"/>
    <s v="CUST-363"/>
    <s v="sanjaysh@hotmail.com"/>
    <s v="8846478071"/>
    <s v="Hydrabad"/>
    <s v="Telangana"/>
    <x v="0"/>
    <s v="PROD-116"/>
    <x v="24"/>
    <x v="3"/>
    <s v="Clothing"/>
    <x v="22"/>
    <n v="3"/>
    <n v="1200"/>
    <n v="20"/>
    <n v="5"/>
    <n v="3024"/>
    <x v="3"/>
    <x v="2"/>
    <x v="0"/>
  </r>
  <r>
    <s v="ORD-1364"/>
    <x v="152"/>
    <s v="Saranya M"/>
    <s v="CUST-364"/>
    <s v="@yahoo.com"/>
    <s v="Not provided"/>
    <s v="Delhi"/>
    <s v="Delhi"/>
    <x v="2"/>
    <s v="PROD-120"/>
    <x v="4"/>
    <x v="2"/>
    <s v="Mobile"/>
    <x v="4"/>
    <n v="1"/>
    <n v="14000"/>
    <n v="12"/>
    <n v="18"/>
    <n v="14537.599999999999"/>
    <x v="2"/>
    <x v="3"/>
    <x v="1"/>
  </r>
  <r>
    <s v="ORD-1365"/>
    <x v="35"/>
    <s v="Manish Tiwari"/>
    <s v="CUST-365"/>
    <s v="manishti@yahoo.com"/>
    <s v="8598813438"/>
    <s v="Delhi"/>
    <s v="Delhi"/>
    <x v="2"/>
    <s v="PROD-113"/>
    <x v="18"/>
    <x v="3"/>
    <s v="Accessories"/>
    <x v="17"/>
    <n v="5"/>
    <n v="8500"/>
    <n v="8"/>
    <n v="18"/>
    <n v="46138"/>
    <x v="3"/>
    <x v="0"/>
    <x v="1"/>
  </r>
  <r>
    <s v="ORD-1366"/>
    <x v="84"/>
    <s v="Meera Nair"/>
    <s v="CUST-366"/>
    <s v="meeranai@gmail.com"/>
    <s v="8448658676"/>
    <s v="Hydrabad"/>
    <s v="Telangana"/>
    <x v="0"/>
    <s v="PROD-121"/>
    <x v="13"/>
    <x v="0"/>
    <s v="Dairy"/>
    <x v="12"/>
    <n v="7"/>
    <n v="280"/>
    <n v="80"/>
    <n v="5"/>
    <n v="411.59999999999991"/>
    <x v="0"/>
    <x v="1"/>
    <x v="0"/>
  </r>
  <r>
    <s v="ORD-1367"/>
    <x v="98"/>
    <s v="Ravi Shankar"/>
    <s v="MISSING"/>
    <s v="ravishan@yahoo.com"/>
    <s v="Not provided"/>
    <s v="Mumbai"/>
    <s v="Maharashtra"/>
    <x v="1"/>
    <s v="PROD-116"/>
    <x v="24"/>
    <x v="3"/>
    <s v="Clothing"/>
    <x v="22"/>
    <n v="6"/>
    <n v="1200"/>
    <n v="20"/>
    <n v="5"/>
    <n v="6048"/>
    <x v="5"/>
    <x v="3"/>
    <x v="1"/>
  </r>
  <r>
    <s v="ORD-1368"/>
    <x v="74"/>
    <s v="Suresh Babu"/>
    <s v="CUST-368"/>
    <s v="sureshba@outlook.com"/>
    <s v="7850707619"/>
    <s v="Mumbai"/>
    <s v="Maharashtra"/>
    <x v="1"/>
    <s v="PROD-102"/>
    <x v="9"/>
    <x v="2"/>
    <s v="Mobile"/>
    <x v="9"/>
    <n v="2"/>
    <n v="89000"/>
    <n v="8"/>
    <n v="18"/>
    <n v="193236.8"/>
    <x v="5"/>
    <x v="1"/>
    <x v="1"/>
  </r>
  <r>
    <s v="ORD-1369"/>
    <x v="153"/>
    <s v="Amit Singh"/>
    <s v="CUST-369"/>
    <s v="amitsing@gmail.com"/>
    <s v="7107861448"/>
    <s v="Visakhapatnam"/>
    <s v="Andhra Pradesh"/>
    <x v="0"/>
    <s v="PROD-120"/>
    <x v="4"/>
    <x v="2"/>
    <s v="Mobile"/>
    <x v="4"/>
    <n v="2"/>
    <n v="14000"/>
    <n v="5"/>
    <n v="18"/>
    <n v="31388"/>
    <x v="4"/>
    <x v="1"/>
    <x v="1"/>
  </r>
  <r>
    <s v="ORD-1370"/>
    <x v="112"/>
    <s v="Venkat Reddy"/>
    <s v="CUST-370"/>
    <s v="venkatre@outlook.com"/>
    <s v="6183290189"/>
    <s v="Surat"/>
    <s v="Gujarat"/>
    <x v="1"/>
    <s v="PROD-115"/>
    <x v="2"/>
    <x v="2"/>
    <s v="Mobile"/>
    <x v="2"/>
    <n v="1"/>
    <n v="28000"/>
    <n v="8"/>
    <n v="18"/>
    <n v="30396.799999999999"/>
    <x v="1"/>
    <x v="3"/>
    <x v="1"/>
  </r>
  <r>
    <s v="ORD-1371"/>
    <x v="123"/>
    <s v="Padma Lakshmi"/>
    <s v="CUST-371"/>
    <s v="padmalak@hotmail.com"/>
    <s v="7411844389"/>
    <s v="Mumbai"/>
    <s v="Maharashtra"/>
    <x v="1"/>
    <s v="PROD-108"/>
    <x v="0"/>
    <x v="0"/>
    <s v="Beverage"/>
    <x v="0"/>
    <n v="7"/>
    <n v="450"/>
    <n v="25"/>
    <n v="5"/>
    <n v="2480.625"/>
    <x v="5"/>
    <x v="3"/>
    <x v="1"/>
  </r>
  <r>
    <s v="ORD-1372"/>
    <x v="44"/>
    <s v="Meera Nair"/>
    <s v="CUST-372"/>
    <s v="meeranai@gmail.com"/>
    <s v="7158988822"/>
    <s v="Lucknow"/>
    <s v="Uttar Pradesh"/>
    <x v="2"/>
    <s v="PROD-120"/>
    <x v="4"/>
    <x v="2"/>
    <s v="Mobile"/>
    <x v="4"/>
    <n v="1"/>
    <n v="14000"/>
    <n v="0"/>
    <n v="18"/>
    <n v="16520"/>
    <x v="1"/>
    <x v="3"/>
    <x v="0"/>
  </r>
  <r>
    <s v="ORD-1373"/>
    <x v="126"/>
    <s v="Lakshmi Devi"/>
    <s v="CUST-373"/>
    <s v="lakshmid@rediffmail.com"/>
    <s v="8992261129"/>
    <s v="Kolkata"/>
    <s v="West Bengal"/>
    <x v="3"/>
    <s v="PROD-103"/>
    <x v="23"/>
    <x v="3"/>
    <s v="Footwear"/>
    <x v="21"/>
    <n v="7"/>
    <n v="4500"/>
    <n v="5"/>
    <n v="5"/>
    <n v="31421.25"/>
    <x v="4"/>
    <x v="1"/>
    <x v="0"/>
  </r>
  <r>
    <s v="ORD-1374"/>
    <x v="107"/>
    <s v="Swati Gupta"/>
    <s v="CUST-374"/>
    <s v="swatigup@yahoo.com"/>
    <s v="8484110392"/>
    <s v="Kochi"/>
    <s v="Kerala"/>
    <x v="0"/>
    <s v="PROD-119"/>
    <x v="20"/>
    <x v="3"/>
    <s v="Accessories"/>
    <x v="3"/>
    <n v="2"/>
    <n v="3500"/>
    <n v="80"/>
    <n v="18"/>
    <n v="1651.9999999999995"/>
    <x v="1"/>
    <x v="2"/>
    <x v="1"/>
  </r>
  <r>
    <s v="ORD-1375"/>
    <x v="121"/>
    <s v="Deepa Krishnan"/>
    <s v="CUST-375"/>
    <s v="deepakri@outlook.com"/>
    <s v="8246997276"/>
    <s v="Mumbai"/>
    <s v="Maharashtra"/>
    <x v="1"/>
    <s v="PROD-107"/>
    <x v="10"/>
    <x v="3"/>
    <s v="Clothing"/>
    <x v="10"/>
    <n v="6"/>
    <n v="2500"/>
    <n v="15"/>
    <n v="5"/>
    <n v="13387.5"/>
    <x v="5"/>
    <x v="2"/>
    <x v="0"/>
  </r>
  <r>
    <s v="ORD-1376"/>
    <x v="151"/>
    <s v="Preethi S"/>
    <s v="CUST-376"/>
    <s v="preethis@rediffmail.com"/>
    <s v="7907409402"/>
    <s v="Bengaluru"/>
    <s v="Karnataka"/>
    <x v="0"/>
    <s v="PROD-115"/>
    <x v="2"/>
    <x v="2"/>
    <s v="Mobile"/>
    <x v="2"/>
    <n v="7"/>
    <n v="28000"/>
    <n v="5"/>
    <n v="18"/>
    <n v="219716"/>
    <x v="2"/>
    <x v="3"/>
    <x v="1"/>
  </r>
  <r>
    <s v="ORD-1377"/>
    <x v="81"/>
    <s v="Arun Sharma"/>
    <s v="CUST-377"/>
    <s v="arunshar@outlook.com"/>
    <s v="9905575726"/>
    <s v="Bengaluru"/>
    <s v="Karnataka"/>
    <x v="0"/>
    <s v="PROD-122"/>
    <x v="21"/>
    <x v="3"/>
    <s v="Travel"/>
    <x v="19"/>
    <n v="7"/>
    <n v="4800"/>
    <n v="25"/>
    <n v="18"/>
    <n v="29736"/>
    <x v="0"/>
    <x v="3"/>
    <x v="0"/>
  </r>
  <r>
    <s v="ORD-1378"/>
    <x v="120"/>
    <s v="Manoj Kumar"/>
    <s v="CUST-378"/>
    <s v="manojkum@yahoo.com"/>
    <s v="6680510314"/>
    <s v="Ahmedabad"/>
    <s v="Gujarat"/>
    <x v="1"/>
    <s v="PROD-102"/>
    <x v="9"/>
    <x v="2"/>
    <s v="Mobile"/>
    <x v="9"/>
    <n v="10"/>
    <n v="89000"/>
    <n v="20"/>
    <n v="18"/>
    <n v="840160"/>
    <x v="0"/>
    <x v="3"/>
    <x v="0"/>
  </r>
  <r>
    <s v="ORD-1379"/>
    <x v="62"/>
    <s v="Swati Gupta"/>
    <s v="CUST-379"/>
    <s v="@yahoo.com"/>
    <s v="8712279536"/>
    <s v="Ahmedabad"/>
    <s v="Gujarat"/>
    <x v="1"/>
    <s v="PROD-105"/>
    <x v="19"/>
    <x v="2"/>
    <s v="Audio"/>
    <x v="18"/>
    <n v="5"/>
    <n v="1500"/>
    <n v="0"/>
    <n v="18"/>
    <n v="8850"/>
    <x v="1"/>
    <x v="1"/>
    <x v="1"/>
  </r>
  <r>
    <s v="ORD-1380"/>
    <x v="78"/>
    <s v="Aarav Shah"/>
    <s v="CUST-380"/>
    <s v="aaravsha@yahoo.com"/>
    <s v="7552189659"/>
    <s v="Kolkata"/>
    <s v="West Bengal"/>
    <x v="3"/>
    <s v="PROD-108"/>
    <x v="0"/>
    <x v="0"/>
    <s v="Beverage"/>
    <x v="0"/>
    <n v="7"/>
    <n v="450"/>
    <n v="0"/>
    <n v="5"/>
    <n v="3307.5"/>
    <x v="3"/>
    <x v="1"/>
    <x v="1"/>
  </r>
  <r>
    <s v="ORD-1381"/>
    <x v="68"/>
    <s v="Sanjay Shah"/>
    <s v="CUST-381"/>
    <s v="sanjaysh@hotmail.com"/>
    <s v="6021537349"/>
    <s v="Visakhapatnam"/>
    <s v="Andhra Pradesh"/>
    <x v="0"/>
    <s v="PROD-101"/>
    <x v="12"/>
    <x v="2"/>
    <s v="Television"/>
    <x v="4"/>
    <n v="7"/>
    <n v="35000"/>
    <n v="8"/>
    <n v="18"/>
    <n v="265972"/>
    <x v="2"/>
    <x v="1"/>
    <x v="0"/>
  </r>
  <r>
    <s v="ORD-1382"/>
    <x v="154"/>
    <s v="Unknown"/>
    <s v="CUST-382"/>
    <s v="user@rediffmail.com"/>
    <s v="9474678928"/>
    <s v="Delhi"/>
    <s v="Delhi"/>
    <x v="2"/>
    <s v="PROD-104"/>
    <x v="20"/>
    <x v="4"/>
    <s v="Kitchen"/>
    <x v="20"/>
    <n v="3"/>
    <n v="2200"/>
    <n v="8"/>
    <n v="12"/>
    <n v="6800.64"/>
    <x v="4"/>
    <x v="4"/>
    <x v="0"/>
  </r>
  <r>
    <s v="ORD-1383"/>
    <x v="93"/>
    <s v="Nisha Patel"/>
    <s v="CUST-383"/>
    <s v="nishapat@hotmail.com"/>
    <s v="9856428261"/>
    <s v="Bengaluru"/>
    <s v="Karnataka"/>
    <x v="0"/>
    <s v="PROD-113"/>
    <x v="18"/>
    <x v="3"/>
    <s v="Accessories"/>
    <x v="17"/>
    <n v="5"/>
    <n v="8500"/>
    <n v="8"/>
    <n v="18"/>
    <n v="46138"/>
    <x v="3"/>
    <x v="3"/>
    <x v="1"/>
  </r>
  <r>
    <s v="ORD-1384"/>
    <x v="29"/>
    <s v="Meera Nair"/>
    <s v="CUST-384"/>
    <s v="meeranai@gmail.com"/>
    <s v="8437261880"/>
    <s v="Hydrabad"/>
    <s v="Telangana"/>
    <x v="0"/>
    <s v="PROD-102"/>
    <x v="9"/>
    <x v="2"/>
    <s v="Mobile"/>
    <x v="9"/>
    <n v="9"/>
    <n v="89000"/>
    <n v="8"/>
    <n v="18"/>
    <n v="869565.6"/>
    <x v="1"/>
    <x v="1"/>
    <x v="0"/>
  </r>
  <r>
    <s v="ORD-1385"/>
    <x v="140"/>
    <s v="Kiran Kumar"/>
    <s v="CUST-385"/>
    <s v="gmail.com"/>
    <s v="6735039551"/>
    <s v="Ahmedabad"/>
    <s v="Gujarat"/>
    <x v="1"/>
    <s v="PROD-113"/>
    <x v="18"/>
    <x v="3"/>
    <s v="Accessories"/>
    <x v="17"/>
    <n v="10"/>
    <n v="8500"/>
    <n v="20"/>
    <n v="18"/>
    <n v="80240"/>
    <x v="0"/>
    <x v="0"/>
    <x v="0"/>
  </r>
  <r>
    <s v="ORD-1386"/>
    <x v="93"/>
    <s v="Dinesh K"/>
    <s v="CUST-386"/>
    <s v="dineshk@rediffmail.com"/>
    <s v="6202176030"/>
    <s v="Lucknow"/>
    <s v="Uttar Pradesh"/>
    <x v="2"/>
    <s v="PROD-108"/>
    <x v="0"/>
    <x v="0"/>
    <s v="Beverage"/>
    <x v="0"/>
    <n v="1"/>
    <n v="450"/>
    <n v="0"/>
    <n v="5"/>
    <n v="472.5"/>
    <x v="0"/>
    <x v="4"/>
    <x v="1"/>
  </r>
  <r>
    <s v="ORD-1387"/>
    <x v="155"/>
    <s v="Geetha Rao"/>
    <s v="CUST-387"/>
    <s v="geethara@gmail.com"/>
    <s v="6475897833"/>
    <s v="Jaipur"/>
    <s v="Rajasthan"/>
    <x v="2"/>
    <s v="PROD-115"/>
    <x v="2"/>
    <x v="2"/>
    <s v="Mobile"/>
    <x v="2"/>
    <n v="10"/>
    <n v="28000"/>
    <n v="15"/>
    <n v="18"/>
    <n v="280840"/>
    <x v="5"/>
    <x v="0"/>
    <x v="0"/>
  </r>
  <r>
    <s v="ORD-1388"/>
    <x v="15"/>
    <s v="Sneha Reddy"/>
    <s v="CUST-388"/>
    <s v="snehared@outlook.com"/>
    <s v="6394275305"/>
    <s v="Jaipur"/>
    <s v="Rajasthan"/>
    <x v="2"/>
    <s v="PROD-111"/>
    <x v="25"/>
    <x v="4"/>
    <s v="Appliance"/>
    <x v="23"/>
    <n v="3"/>
    <n v="38000"/>
    <n v="20"/>
    <n v="18"/>
    <n v="107616"/>
    <x v="0"/>
    <x v="1"/>
    <x v="0"/>
  </r>
  <r>
    <s v="ORD-1389"/>
    <x v="156"/>
    <s v="Lakshmi Devi"/>
    <s v="CUST-389"/>
    <s v="lakshmid@outlook.com"/>
    <s v="9641303241"/>
    <s v="Jaipur"/>
    <s v="Rajasthan"/>
    <x v="2"/>
    <s v="PROD-112"/>
    <x v="7"/>
    <x v="0"/>
    <s v="Snacks"/>
    <x v="7"/>
    <n v="4"/>
    <n v="50"/>
    <n v="10"/>
    <n v="5"/>
    <n v="189"/>
    <x v="1"/>
    <x v="0"/>
    <x v="1"/>
  </r>
  <r>
    <s v="ORD-1390"/>
    <x v="59"/>
    <s v="Arun Sharma"/>
    <s v="CUST-390"/>
    <s v="arunshar@yahoo.com"/>
    <s v="8280135461"/>
    <s v="Bengaluru"/>
    <s v="Karnataka"/>
    <x v="0"/>
    <s v="PROD-108"/>
    <x v="0"/>
    <x v="0"/>
    <s v="Beverage"/>
    <x v="0"/>
    <n v="4"/>
    <n v="450"/>
    <n v="12"/>
    <n v="5"/>
    <n v="1663.2"/>
    <x v="3"/>
    <x v="2"/>
    <x v="1"/>
  </r>
  <r>
    <s v="ORD-1391"/>
    <x v="157"/>
    <s v="Prasad P"/>
    <s v="CUST-391"/>
    <s v="prasadp@gmail.com"/>
    <s v="6477096961"/>
    <s v="Kochi"/>
    <s v="Kerala"/>
    <x v="0"/>
    <s v="PROD-118"/>
    <x v="5"/>
    <x v="4"/>
    <s v="Appliance"/>
    <x v="5"/>
    <n v="9"/>
    <n v="12000"/>
    <n v="20"/>
    <n v="18"/>
    <n v="101952"/>
    <x v="0"/>
    <x v="1"/>
    <x v="1"/>
  </r>
  <r>
    <s v="ORD-1392"/>
    <x v="28"/>
    <s v="Rekha Pandey"/>
    <s v="CUST-392"/>
    <s v="rekhapan@rediffmail.com"/>
    <s v="9894108415"/>
    <s v="Bengaluru"/>
    <s v="Karnataka"/>
    <x v="0"/>
    <s v="PROD-119"/>
    <x v="3"/>
    <x v="3"/>
    <s v="Accessories"/>
    <x v="3"/>
    <n v="10"/>
    <n v="3500"/>
    <n v="12"/>
    <n v="18"/>
    <n v="36344"/>
    <x v="2"/>
    <x v="4"/>
    <x v="1"/>
  </r>
  <r>
    <s v="ORD-1393"/>
    <x v="99"/>
    <s v="Vijay Patel"/>
    <s v="CUST-393"/>
    <s v="vijaypat@gmail.com"/>
    <s v="7248369039"/>
    <s v="Kolkata"/>
    <s v="West Bengal"/>
    <x v="3"/>
    <s v="PROD-103"/>
    <x v="23"/>
    <x v="3"/>
    <s v="Footwear"/>
    <x v="21"/>
    <n v="8"/>
    <n v="4500"/>
    <n v="8"/>
    <n v="5"/>
    <n v="34776"/>
    <x v="3"/>
    <x v="1"/>
    <x v="0"/>
  </r>
  <r>
    <s v="ORD-1394"/>
    <x v="152"/>
    <s v="Rekha Pandey"/>
    <s v="CUST-394"/>
    <s v="rekhapan@gmail.com"/>
    <s v="6945990607"/>
    <s v="Delhi"/>
    <s v="Delhi"/>
    <x v="2"/>
    <s v="PROD-125"/>
    <x v="1"/>
    <x v="1"/>
    <s v="Gold"/>
    <x v="1"/>
    <n v="8"/>
    <n v="25000"/>
    <n v="12"/>
    <n v="3"/>
    <n v="181280"/>
    <x v="1"/>
    <x v="2"/>
    <x v="0"/>
  </r>
  <r>
    <s v="ORD-1395"/>
    <x v="158"/>
    <s v="Suresh Kumar"/>
    <s v="CUST-395"/>
    <s v="sureshku@outlook.com"/>
    <s v="8233716848"/>
    <s v="Kochi"/>
    <s v="Kerala"/>
    <x v="0"/>
    <s v="PROD-108"/>
    <x v="0"/>
    <x v="0"/>
    <s v="Beverage"/>
    <x v="0"/>
    <n v="2"/>
    <n v="450"/>
    <n v="25"/>
    <n v="5"/>
    <n v="708.75"/>
    <x v="2"/>
    <x v="3"/>
    <x v="0"/>
  </r>
  <r>
    <s v="ORD-1396"/>
    <x v="26"/>
    <s v="Preethi S"/>
    <s v="CUST-396"/>
    <s v="gmail.com"/>
    <s v="8097517915"/>
    <s v="Kolkata"/>
    <s v="West Bengal"/>
    <x v="3"/>
    <s v="PROD-115"/>
    <x v="2"/>
    <x v="2"/>
    <s v="Mobile"/>
    <x v="2"/>
    <n v="1"/>
    <n v="28000"/>
    <n v="12"/>
    <n v="18"/>
    <n v="29075.199999999997"/>
    <x v="4"/>
    <x v="2"/>
    <x v="1"/>
  </r>
  <r>
    <s v="ORD-1397"/>
    <x v="131"/>
    <s v="Sita Devi"/>
    <s v="CUST-397"/>
    <s v="sitadevi@yahoo.com"/>
    <s v="7814895510"/>
    <s v="Hydrabad"/>
    <s v="Telangana"/>
    <x v="0"/>
    <s v="PROD-122"/>
    <x v="21"/>
    <x v="3"/>
    <s v="Travel"/>
    <x v="19"/>
    <n v="9"/>
    <n v="4800"/>
    <n v="12"/>
    <n v="18"/>
    <n v="44858.879999999997"/>
    <x v="5"/>
    <x v="4"/>
    <x v="0"/>
  </r>
  <r>
    <s v="ORD-1398"/>
    <x v="97"/>
    <s v="Geetha Rao"/>
    <s v="CUST-398"/>
    <s v="geethara@hotmail.com"/>
    <s v="8981280198"/>
    <s v="Bengaluru"/>
    <s v="Karnataka"/>
    <x v="0"/>
    <s v="PROD-110"/>
    <x v="17"/>
    <x v="3"/>
    <s v="Traditional"/>
    <x v="16"/>
    <n v="10"/>
    <n v="3500"/>
    <n v="10"/>
    <n v="5"/>
    <n v="33075"/>
    <x v="2"/>
    <x v="3"/>
    <x v="1"/>
  </r>
  <r>
    <s v="ORD-1399"/>
    <x v="35"/>
    <s v="Kiran Kumar"/>
    <s v="CUST-399"/>
    <s v="Not provided"/>
    <s v="7987744439"/>
    <s v="Delhi"/>
    <s v="Delhi"/>
    <x v="2"/>
    <s v="PROD-123"/>
    <x v="11"/>
    <x v="4"/>
    <s v="Lighting"/>
    <x v="11"/>
    <n v="1"/>
    <n v="299"/>
    <n v="8"/>
    <n v="18"/>
    <n v="324.59439999999995"/>
    <x v="5"/>
    <x v="3"/>
    <x v="0"/>
  </r>
  <r>
    <s v="ORD-1400"/>
    <x v="79"/>
    <s v="Deepika Rao"/>
    <s v="CUST-400"/>
    <s v="deepikar@yahoo.com"/>
    <s v="6027705952"/>
    <s v="Hydrabad"/>
    <s v="Telangana"/>
    <x v="0"/>
    <s v="PROD-103"/>
    <x v="23"/>
    <x v="3"/>
    <s v="Footwear"/>
    <x v="21"/>
    <n v="2"/>
    <n v="4500"/>
    <n v="5"/>
    <n v="5"/>
    <n v="8977.5"/>
    <x v="1"/>
    <x v="0"/>
    <x v="1"/>
  </r>
  <r>
    <s v="ORD-1401"/>
    <x v="90"/>
    <s v="Nisha Patel"/>
    <s v="CUST-401"/>
    <s v="nishapat@rediffmail.com"/>
    <s v="6093019873"/>
    <s v="Kolkata"/>
    <s v="West Bengal"/>
    <x v="3"/>
    <s v="PROD-104"/>
    <x v="22"/>
    <x v="4"/>
    <s v="Kitchen"/>
    <x v="20"/>
    <n v="4"/>
    <n v="2200"/>
    <n v="0"/>
    <n v="12"/>
    <n v="9856.0000000000018"/>
    <x v="3"/>
    <x v="0"/>
    <x v="1"/>
  </r>
  <r>
    <s v="ORD-1402"/>
    <x v="95"/>
    <s v="Manish Tiwari"/>
    <s v="CUST-402"/>
    <s v="manishti@rediffmail.com"/>
    <s v="6146387689"/>
    <s v="Chennai"/>
    <s v="Tamil Nadu"/>
    <x v="0"/>
    <s v="PROD-122"/>
    <x v="21"/>
    <x v="3"/>
    <s v="Travel"/>
    <x v="19"/>
    <n v="8"/>
    <n v="4800"/>
    <n v="12"/>
    <n v="18"/>
    <n v="39874.559999999998"/>
    <x v="0"/>
    <x v="3"/>
    <x v="0"/>
  </r>
  <r>
    <s v="ORD-1403"/>
    <x v="159"/>
    <s v="Padma Lakshmi"/>
    <s v="CUST-403"/>
    <s v="padmalak@outlook.com"/>
    <s v="9604875522"/>
    <s v="Hydrabad"/>
    <s v="Telangana"/>
    <x v="3"/>
    <s v="PROD-105"/>
    <x v="19"/>
    <x v="2"/>
    <s v="Audio"/>
    <x v="18"/>
    <n v="6"/>
    <n v="1500"/>
    <n v="20"/>
    <n v="18"/>
    <n v="8496"/>
    <x v="2"/>
    <x v="1"/>
    <x v="0"/>
  </r>
  <r>
    <s v="ORD-1404"/>
    <x v="32"/>
    <s v="Venkat Reddy"/>
    <s v="CUST-404"/>
    <s v="venkatre@yahoo.com"/>
    <s v="9146695115"/>
    <s v="Visakhapatnam"/>
    <s v="Andhra Pradesh"/>
    <x v="0"/>
    <s v="PROD-120"/>
    <x v="4"/>
    <x v="2"/>
    <s v="Mobile"/>
    <x v="4"/>
    <n v="9"/>
    <n v="14000"/>
    <n v="20"/>
    <n v="18"/>
    <n v="118944"/>
    <x v="0"/>
    <x v="2"/>
    <x v="1"/>
  </r>
  <r>
    <s v="ORD-1405"/>
    <x v="96"/>
    <s v="Vijay Patel"/>
    <s v="CUST-405"/>
    <s v="vijaypat@rediffmail.com"/>
    <s v="8109271409"/>
    <s v="Bengaluru"/>
    <s v="Karnataka"/>
    <x v="0"/>
    <s v="PROD-106"/>
    <x v="16"/>
    <x v="4"/>
    <s v="Appliance"/>
    <x v="15"/>
    <n v="1"/>
    <n v="42000"/>
    <n v="15"/>
    <n v="18"/>
    <n v="42126"/>
    <x v="1"/>
    <x v="2"/>
    <x v="0"/>
  </r>
  <r>
    <s v="ORD-1406"/>
    <x v="32"/>
    <s v="Prasad P"/>
    <s v="CUST-406"/>
    <s v="prasadp@rediffmail.com"/>
    <s v="7531092238"/>
    <s v="Jaipur"/>
    <s v="Rajasthan"/>
    <x v="2"/>
    <s v="PROD-124"/>
    <x v="6"/>
    <x v="2"/>
    <s v="Audio"/>
    <x v="6"/>
    <n v="1"/>
    <n v="2800"/>
    <n v="15"/>
    <n v="18"/>
    <n v="2808.3999999999996"/>
    <x v="1"/>
    <x v="1"/>
    <x v="1"/>
  </r>
  <r>
    <s v="ORD-1407"/>
    <x v="72"/>
    <s v="Padma Lakshmi"/>
    <s v="CUST-407"/>
    <s v="padmalak@yahoo.com"/>
    <s v="8147685544"/>
    <s v="Chennai"/>
    <s v="Tamil Nadu"/>
    <x v="0"/>
    <s v="PROD-103"/>
    <x v="23"/>
    <x v="3"/>
    <s v="Footwear"/>
    <x v="21"/>
    <n v="3"/>
    <n v="4500"/>
    <n v="80"/>
    <n v="5"/>
    <n v="2834.9999999999995"/>
    <x v="1"/>
    <x v="2"/>
    <x v="0"/>
  </r>
  <r>
    <s v="ORD-1408"/>
    <x v="140"/>
    <s v="Sita Devi"/>
    <s v="CUST-408"/>
    <s v="sitadevi@rediffmail.com"/>
    <s v="9288116238"/>
    <s v="Visakhapatnam"/>
    <s v="Andhra Pradesh"/>
    <x v="0"/>
    <s v="PROD-118"/>
    <x v="5"/>
    <x v="4"/>
    <s v="Appliance"/>
    <x v="5"/>
    <n v="5"/>
    <n v="12000"/>
    <n v="0"/>
    <n v="18"/>
    <n v="70800"/>
    <x v="2"/>
    <x v="3"/>
    <x v="0"/>
  </r>
  <r>
    <s v="ORD-1409"/>
    <x v="42"/>
    <s v="Amit Singh"/>
    <s v="CUST-409"/>
    <s v="amitsing@hotmail.com"/>
    <s v="8372952079"/>
    <s v="Kochi"/>
    <s v="Kerala"/>
    <x v="0"/>
    <s v="PROD-114"/>
    <x v="15"/>
    <x v="4"/>
    <s v="Kitchen"/>
    <x v="14"/>
    <n v="3"/>
    <n v="0"/>
    <n v="15"/>
    <n v="18"/>
    <n v="0"/>
    <x v="0"/>
    <x v="3"/>
    <x v="0"/>
  </r>
  <r>
    <s v="ORD-1410"/>
    <x v="70"/>
    <s v="Venkat Reddy"/>
    <s v="CUST-410"/>
    <s v="venkatre@gmail.com"/>
    <s v="6244313440"/>
    <s v="Mumbai"/>
    <s v="Maharashtra"/>
    <x v="1"/>
    <s v="PROD-113"/>
    <x v="18"/>
    <x v="3"/>
    <s v="Accessories"/>
    <x v="17"/>
    <n v="8"/>
    <n v="8500"/>
    <n v="15"/>
    <n v="18"/>
    <n v="68204"/>
    <x v="0"/>
    <x v="3"/>
    <x v="0"/>
  </r>
  <r>
    <s v="ORD-1411"/>
    <x v="160"/>
    <s v="Meera Nair"/>
    <s v="CUST-411"/>
    <s v="meeranai@outlook.com"/>
    <s v="9835313369"/>
    <s v="Mumbai"/>
    <s v="Maharashtra"/>
    <x v="1"/>
    <s v="PROD-106"/>
    <x v="16"/>
    <x v="4"/>
    <s v="Appliance"/>
    <x v="15"/>
    <n v="5"/>
    <n v="42000"/>
    <n v="5"/>
    <n v="18"/>
    <n v="235410"/>
    <x v="1"/>
    <x v="0"/>
    <x v="0"/>
  </r>
  <r>
    <s v="ORD-1412"/>
    <x v="147"/>
    <s v="Anita Verma"/>
    <s v="CUST-412"/>
    <s v="anitaver@hotmail.com"/>
    <s v="618122712"/>
    <s v="Lucknow"/>
    <s v="Uttar Pradesh"/>
    <x v="2"/>
    <s v="PROD-117"/>
    <x v="14"/>
    <x v="0"/>
    <s v="Snacks"/>
    <x v="13"/>
    <n v="8"/>
    <n v="40"/>
    <n v="10"/>
    <n v="5"/>
    <n v="302.40000000000003"/>
    <x v="3"/>
    <x v="3"/>
    <x v="0"/>
  </r>
  <r>
    <s v="ORD-1413"/>
    <x v="42"/>
    <s v="Anita Verma"/>
    <s v="CUST-413"/>
    <s v="anitaver@outlook.com"/>
    <s v="9252373514"/>
    <s v="Surat"/>
    <s v="Gujarat"/>
    <x v="1"/>
    <s v="PROD-110"/>
    <x v="17"/>
    <x v="3"/>
    <s v="Traditional"/>
    <x v="16"/>
    <n v="1"/>
    <n v="3500"/>
    <n v="8"/>
    <n v="5"/>
    <n v="3381"/>
    <x v="1"/>
    <x v="2"/>
    <x v="0"/>
  </r>
  <r>
    <s v="ORD-1414"/>
    <x v="90"/>
    <s v="Priya Sharma"/>
    <s v="CUST-414"/>
    <s v="priyasha@hotmail.com"/>
    <s v="6566388979"/>
    <s v="Lucknow"/>
    <s v="Uttar Pradesh"/>
    <x v="2"/>
    <s v="PROD-120"/>
    <x v="4"/>
    <x v="2"/>
    <s v="Mobile"/>
    <x v="4"/>
    <n v="1"/>
    <n v="14000"/>
    <n v="12"/>
    <n v="18"/>
    <n v="14537.599999999999"/>
    <x v="0"/>
    <x v="1"/>
    <x v="1"/>
  </r>
  <r>
    <s v="ORD-1415"/>
    <x v="49"/>
    <s v="Ravi Kumar"/>
    <s v="CUST-415"/>
    <s v="ravikuma@hotmail.com"/>
    <s v="Not provided"/>
    <s v="Surat"/>
    <s v="Gujarat"/>
    <x v="1"/>
    <s v="PROD-109"/>
    <x v="8"/>
    <x v="2"/>
    <s v="Computer"/>
    <x v="8"/>
    <n v="7"/>
    <n v="55000"/>
    <n v="0"/>
    <n v="18"/>
    <n v="454300"/>
    <x v="4"/>
    <x v="1"/>
    <x v="0"/>
  </r>
  <r>
    <s v="ORD-1416"/>
    <x v="39"/>
    <s v="Aarav Shah"/>
    <s v="CUST-416"/>
    <s v="aaravsha@yahoo.com"/>
    <s v="8490611661"/>
    <s v="Mumbai"/>
    <s v="Maharashtra"/>
    <x v="1"/>
    <s v="PROD-118"/>
    <x v="5"/>
    <x v="4"/>
    <s v="Appliance"/>
    <x v="5"/>
    <n v="10"/>
    <n v="12000"/>
    <n v="12"/>
    <n v="18"/>
    <n v="124608"/>
    <x v="3"/>
    <x v="1"/>
    <x v="0"/>
  </r>
  <r>
    <s v="ORD-1417"/>
    <x v="10"/>
    <s v="Kiran Kumar"/>
    <s v="CUST-417"/>
    <s v="kirankum@yahoo.com"/>
    <s v="Not provided"/>
    <s v="Mumbai"/>
    <s v="Maharashtra"/>
    <x v="1"/>
    <s v="PROD-108"/>
    <x v="0"/>
    <x v="0"/>
    <s v="Beverage"/>
    <x v="0"/>
    <n v="6"/>
    <n v="450"/>
    <n v="25"/>
    <n v="5"/>
    <n v="2126.25"/>
    <x v="0"/>
    <x v="3"/>
    <x v="1"/>
  </r>
  <r>
    <s v="ORD-1418"/>
    <x v="118"/>
    <s v="Dinesh K"/>
    <s v="CUST-418"/>
    <s v="dineshk@gmail.com"/>
    <s v="9275392865"/>
    <s v="Kochi"/>
    <s v="Kerala"/>
    <x v="0"/>
    <s v="PROD-114"/>
    <x v="15"/>
    <x v="4"/>
    <s v="Kitchen"/>
    <x v="14"/>
    <n v="1"/>
    <n v="3200"/>
    <n v="0"/>
    <n v="18"/>
    <n v="3776"/>
    <x v="5"/>
    <x v="1"/>
    <x v="0"/>
  </r>
  <r>
    <s v="ORD-1419"/>
    <x v="17"/>
    <s v="Rohit Yadav"/>
    <s v="CUST-419"/>
    <s v="rohityad@outlook.com"/>
    <s v="6495711899"/>
    <s v="Delhi"/>
    <s v="Delhi"/>
    <x v="2"/>
    <s v="PROD-108"/>
    <x v="0"/>
    <x v="0"/>
    <s v="Beverage"/>
    <x v="0"/>
    <n v="9"/>
    <n v="450"/>
    <n v="25"/>
    <n v="5"/>
    <n v="3189.375"/>
    <x v="0"/>
    <x v="1"/>
    <x v="1"/>
  </r>
  <r>
    <s v="ORD-1420"/>
    <x v="161"/>
    <s v="Vijay Patel"/>
    <s v="CUST-420"/>
    <s v="vijaypat@outlook.com"/>
    <s v="7808278260"/>
    <s v="Hydrabad"/>
    <s v="Telangana"/>
    <x v="0"/>
    <s v="PROD-114"/>
    <x v="15"/>
    <x v="4"/>
    <s v="Kitchen"/>
    <x v="14"/>
    <n v="8"/>
    <n v="3200"/>
    <n v="8"/>
    <n v="18"/>
    <n v="27791.359999999997"/>
    <x v="2"/>
    <x v="1"/>
    <x v="0"/>
  </r>
  <r>
    <s v="ORD-1421"/>
    <x v="156"/>
    <s v="Arun Sharma"/>
    <s v="CUST-421"/>
    <s v="arunshar@outlook.com"/>
    <s v="7036955025"/>
    <s v="Chennai"/>
    <s v="Tamil Nadu"/>
    <x v="0"/>
    <s v="PROD-121"/>
    <x v="13"/>
    <x v="0"/>
    <s v="Dairy"/>
    <x v="12"/>
    <n v="3"/>
    <n v="280"/>
    <n v="5"/>
    <n v="5"/>
    <n v="837.90000000000009"/>
    <x v="3"/>
    <x v="2"/>
    <x v="0"/>
  </r>
  <r>
    <s v="ORD-1422"/>
    <x v="123"/>
    <s v="Rahul Gupta"/>
    <s v="CUST-422"/>
    <s v="rahulgup@rediffmail.com"/>
    <s v="7947884297"/>
    <s v="Bengaluru"/>
    <s v="Karnataka"/>
    <x v="0"/>
    <s v="PROD-111"/>
    <x v="25"/>
    <x v="4"/>
    <s v="Appliance"/>
    <x v="23"/>
    <n v="6"/>
    <n v="38000"/>
    <n v="20"/>
    <n v="18"/>
    <n v="215232"/>
    <x v="3"/>
    <x v="1"/>
    <x v="1"/>
  </r>
  <r>
    <s v="ORD-1423"/>
    <x v="76"/>
    <s v="Suresh Babu"/>
    <s v="CUST-423"/>
    <s v="sureshba@rediffmail.com"/>
    <s v="6711214547"/>
    <s v="Lucknow"/>
    <s v="Uttar Pradesh"/>
    <x v="2"/>
    <s v="PROD-117"/>
    <x v="14"/>
    <x v="0"/>
    <s v="Snacks"/>
    <x v="13"/>
    <n v="8"/>
    <n v="40"/>
    <n v="20"/>
    <n v="5"/>
    <n v="268.8"/>
    <x v="3"/>
    <x v="3"/>
    <x v="0"/>
  </r>
  <r>
    <s v="ORD-1424"/>
    <x v="155"/>
    <s v="Arjun Mehta"/>
    <s v="CUST-424"/>
    <s v="@"/>
    <s v="8453135685"/>
    <s v="Jaipur"/>
    <s v="Rajasthan"/>
    <x v="2"/>
    <s v="PROD-115"/>
    <x v="2"/>
    <x v="2"/>
    <s v="Mobile"/>
    <x v="2"/>
    <n v="10"/>
    <n v="28000"/>
    <n v="10"/>
    <n v="18"/>
    <n v="297360"/>
    <x v="0"/>
    <x v="3"/>
    <x v="1"/>
  </r>
  <r>
    <s v="ORD-1425"/>
    <x v="24"/>
    <s v="Swati Gupta"/>
    <s v="CUST-425"/>
    <s v="swatigup@outlook.com"/>
    <s v="8886567960"/>
    <s v="Hydrabad"/>
    <s v="Telangana"/>
    <x v="0"/>
    <s v="PROD-115"/>
    <x v="2"/>
    <x v="2"/>
    <s v="Mobile"/>
    <x v="2"/>
    <n v="8"/>
    <n v="28000"/>
    <n v="12"/>
    <n v="18"/>
    <n v="232601.59999999998"/>
    <x v="5"/>
    <x v="0"/>
    <x v="1"/>
  </r>
  <r>
    <s v="ORD-1426"/>
    <x v="107"/>
    <s v="Meera Nair"/>
    <s v="CUST-426"/>
    <s v="meeranai@yahoo.com"/>
    <s v="6852864391"/>
    <s v="Lucknow"/>
    <s v="Uttar Pradesh"/>
    <x v="2"/>
    <s v="PROD-102"/>
    <x v="9"/>
    <x v="2"/>
    <s v="Mobile"/>
    <x v="9"/>
    <n v="9"/>
    <n v="0"/>
    <n v="0"/>
    <n v="18"/>
    <n v="0"/>
    <x v="0"/>
    <x v="0"/>
    <x v="0"/>
  </r>
  <r>
    <s v="ORD-1427"/>
    <x v="124"/>
    <s v="Rohit Yadav"/>
    <s v="CUST-427"/>
    <s v="rohityad@hotmail.com"/>
    <s v="7268807306"/>
    <s v="Delhi"/>
    <s v="Delhi"/>
    <x v="2"/>
    <s v="PROD-124"/>
    <x v="6"/>
    <x v="2"/>
    <s v="Audio"/>
    <x v="6"/>
    <n v="3"/>
    <n v="2800"/>
    <n v="10"/>
    <n v="18"/>
    <n v="8920.7999999999993"/>
    <x v="3"/>
    <x v="4"/>
    <x v="0"/>
  </r>
  <r>
    <s v="ORD-1428"/>
    <x v="2"/>
    <s v="Deepa Krishnan"/>
    <s v="CUST-428"/>
    <s v="gmail.com"/>
    <s v="9362220210"/>
    <s v="Ahmedabad"/>
    <s v="Gujarat"/>
    <x v="1"/>
    <s v="PROD-125"/>
    <x v="1"/>
    <x v="1"/>
    <s v="Gold"/>
    <x v="1"/>
    <n v="7"/>
    <n v="25000"/>
    <n v="20"/>
    <n v="3"/>
    <n v="144200"/>
    <x v="3"/>
    <x v="1"/>
    <x v="1"/>
  </r>
  <r>
    <s v="ORD-1429"/>
    <x v="106"/>
    <s v="Manoj Kumar"/>
    <s v="CUST-429"/>
    <s v="manojkum@rediffmail.com"/>
    <s v="8318282966"/>
    <s v="Mumbai"/>
    <s v="Maharashtra"/>
    <x v="1"/>
    <s v="PROD-111"/>
    <x v="25"/>
    <x v="4"/>
    <s v="Appliance"/>
    <x v="23"/>
    <n v="7"/>
    <n v="38000"/>
    <n v="0"/>
    <n v="18"/>
    <n v="313880"/>
    <x v="3"/>
    <x v="2"/>
    <x v="0"/>
  </r>
  <r>
    <s v="ORD-1430"/>
    <x v="14"/>
    <s v="Priya Sharma"/>
    <s v="CUST-430"/>
    <s v="priyasha@yahoo.com"/>
    <s v="610752650"/>
    <s v="Hydrabad"/>
    <s v="Telangana"/>
    <x v="0"/>
    <s v="PROD-103"/>
    <x v="23"/>
    <x v="3"/>
    <s v="Footwear"/>
    <x v="21"/>
    <n v="2"/>
    <n v="4500"/>
    <n v="8"/>
    <n v="5"/>
    <n v="8694"/>
    <x v="4"/>
    <x v="1"/>
    <x v="0"/>
  </r>
  <r>
    <s v="ORD-1431"/>
    <x v="4"/>
    <s v="Unknown"/>
    <s v="CUST-431"/>
    <s v="@yahoo.com"/>
    <s v="6652180311"/>
    <s v="Bengaluru"/>
    <s v="Karnataka"/>
    <x v="0"/>
    <s v="PROD-116"/>
    <x v="24"/>
    <x v="3"/>
    <s v="Clothing"/>
    <x v="22"/>
    <n v="4"/>
    <n v="1200"/>
    <n v="20"/>
    <n v="5"/>
    <n v="4032"/>
    <x v="5"/>
    <x v="2"/>
    <x v="1"/>
  </r>
  <r>
    <s v="ORD-1432"/>
    <x v="102"/>
    <s v="Deepa Krishnan"/>
    <s v="CUST-432"/>
    <s v="deepakri@rediffmail.com"/>
    <s v="8134748605"/>
    <s v="Bengaluru"/>
    <s v="Karnataka"/>
    <x v="0"/>
    <s v="PROD-107"/>
    <x v="10"/>
    <x v="3"/>
    <s v="Clothing"/>
    <x v="10"/>
    <n v="1"/>
    <n v="2500"/>
    <n v="25"/>
    <n v="5"/>
    <n v="1968.75"/>
    <x v="0"/>
    <x v="2"/>
    <x v="1"/>
  </r>
  <r>
    <s v="ORD-1433"/>
    <x v="146"/>
    <s v="Geetha Rao"/>
    <s v="CUST-433"/>
    <s v="geethara@hotmail.com"/>
    <s v="9105400552"/>
    <s v="Kochi"/>
    <s v="Kerala"/>
    <x v="0"/>
    <s v="PROD-123"/>
    <x v="11"/>
    <x v="4"/>
    <s v="Lighting"/>
    <x v="11"/>
    <n v="4"/>
    <n v="299"/>
    <n v="8"/>
    <n v="18"/>
    <n v="1298.3775999999998"/>
    <x v="3"/>
    <x v="0"/>
    <x v="0"/>
  </r>
  <r>
    <s v="ORD-1434"/>
    <x v="156"/>
    <s v="Ravi Shankar"/>
    <s v="MISSING"/>
    <s v="ravishan@hotmail.com"/>
    <s v="9250803652"/>
    <s v="Ahmedabad"/>
    <s v="Gujarat"/>
    <x v="1"/>
    <s v="PROD-109"/>
    <x v="8"/>
    <x v="2"/>
    <s v="Computer"/>
    <x v="8"/>
    <n v="10"/>
    <n v="55000"/>
    <n v="25"/>
    <n v="18"/>
    <n v="486750"/>
    <x v="1"/>
    <x v="3"/>
    <x v="0"/>
  </r>
  <r>
    <s v="ORD-1435"/>
    <x v="122"/>
    <s v="Ravi Kumar"/>
    <s v="MISSING"/>
    <s v="ravikuma@outlook.com"/>
    <s v="7246385682"/>
    <s v="Kolkata"/>
    <s v="West Bengal"/>
    <x v="3"/>
    <s v="PROD-104"/>
    <x v="22"/>
    <x v="4"/>
    <s v="Kitchen"/>
    <x v="20"/>
    <n v="7"/>
    <n v="2200"/>
    <n v="20"/>
    <n v="12"/>
    <n v="13798.400000000001"/>
    <x v="4"/>
    <x v="0"/>
    <x v="1"/>
  </r>
  <r>
    <s v="ORD-1436"/>
    <x v="154"/>
    <s v="Deepika Rao"/>
    <s v="CUST-436"/>
    <s v="deepikar@outlook.com"/>
    <s v="8553162493"/>
    <s v="Pune"/>
    <s v="Maharashtra"/>
    <x v="1"/>
    <s v="PROD-123"/>
    <x v="11"/>
    <x v="4"/>
    <s v="Lighting"/>
    <x v="11"/>
    <n v="6"/>
    <n v="299"/>
    <n v="80"/>
    <n v="18"/>
    <n v="423.38399999999984"/>
    <x v="1"/>
    <x v="4"/>
    <x v="0"/>
  </r>
  <r>
    <s v="ORD-1437"/>
    <x v="151"/>
    <s v="Unknown"/>
    <s v="CUST-437"/>
    <s v="user@outlook.com"/>
    <s v="8243337877"/>
    <s v="Delhi"/>
    <s v="Delhi"/>
    <x v="2"/>
    <s v="PROD-118"/>
    <x v="5"/>
    <x v="4"/>
    <s v="Appliance"/>
    <x v="5"/>
    <n v="5"/>
    <n v="12000"/>
    <n v="20"/>
    <n v="18"/>
    <n v="56640"/>
    <x v="0"/>
    <x v="2"/>
    <x v="0"/>
  </r>
  <r>
    <s v="ORD-1438"/>
    <x v="162"/>
    <s v="Saranya M"/>
    <s v="CUST-438"/>
    <s v="saranyam@gmail.com"/>
    <s v="7827103713"/>
    <s v="Visakhapatnam"/>
    <s v="Andhra Pradesh"/>
    <x v="0"/>
    <s v="PROD-125"/>
    <x v="1"/>
    <x v="1"/>
    <s v="Gold"/>
    <x v="1"/>
    <n v="10"/>
    <n v="25000"/>
    <n v="10"/>
    <n v="3"/>
    <n v="231750"/>
    <x v="3"/>
    <x v="3"/>
    <x v="0"/>
  </r>
  <r>
    <s v="ORD-1439"/>
    <x v="38"/>
    <s v="Venkat Reddy"/>
    <s v="CUST-439"/>
    <s v="venkatre@outlook.com"/>
    <s v="7870086183"/>
    <s v="Lucknow"/>
    <s v="Uttar Pradesh"/>
    <x v="2"/>
    <s v="PROD-125"/>
    <x v="1"/>
    <x v="1"/>
    <s v="Gold"/>
    <x v="1"/>
    <n v="8"/>
    <n v="25000"/>
    <n v="10"/>
    <n v="3"/>
    <n v="185400"/>
    <x v="3"/>
    <x v="3"/>
    <x v="1"/>
  </r>
  <r>
    <s v="ORD-1440"/>
    <x v="58"/>
    <s v="Aarav Shah"/>
    <s v="CUST-440"/>
    <s v="aaravsha@gmail.com"/>
    <s v="7710659735"/>
    <s v="Kolkata"/>
    <s v="West Bengal"/>
    <x v="3"/>
    <s v="PROD-115"/>
    <x v="2"/>
    <x v="2"/>
    <s v="Mobile"/>
    <x v="2"/>
    <n v="4"/>
    <n v="28000"/>
    <n v="25"/>
    <n v="18"/>
    <n v="99120"/>
    <x v="1"/>
    <x v="2"/>
    <x v="0"/>
  </r>
  <r>
    <s v="ORD-1441"/>
    <x v="123"/>
    <s v="Amit Singh"/>
    <s v="CUST-441"/>
    <s v="amitsing@gmail.com"/>
    <s v="6267685864"/>
    <s v="Surat"/>
    <s v="Gujarat"/>
    <x v="1"/>
    <s v="PROD-102"/>
    <x v="9"/>
    <x v="2"/>
    <s v="Mobile"/>
    <x v="9"/>
    <n v="10"/>
    <n v="89000"/>
    <n v="5"/>
    <n v="18"/>
    <n v="997690"/>
    <x v="3"/>
    <x v="1"/>
    <x v="0"/>
  </r>
  <r>
    <s v="ORD-1442"/>
    <x v="137"/>
    <s v="Kiran Kumar"/>
    <s v="MISSING"/>
    <s v="kirankum@rediffmail.com"/>
    <s v="6741247904"/>
    <s v="Bengaluru"/>
    <s v="Karnataka"/>
    <x v="0"/>
    <s v="PROD-109"/>
    <x v="8"/>
    <x v="2"/>
    <s v="Computer"/>
    <x v="8"/>
    <n v="6"/>
    <n v="55000"/>
    <n v="15"/>
    <n v="18"/>
    <n v="330990"/>
    <x v="2"/>
    <x v="0"/>
    <x v="0"/>
  </r>
  <r>
    <s v="ORD-1443"/>
    <x v="163"/>
    <s v="Prasad P"/>
    <s v="CUST-443"/>
    <s v="prasadp@gmail.com"/>
    <s v="6934266427"/>
    <s v="Mumbai"/>
    <s v="Maharashtra"/>
    <x v="1"/>
    <s v="PROD-107"/>
    <x v="10"/>
    <x v="3"/>
    <s v="Clothing"/>
    <x v="10"/>
    <n v="1"/>
    <n v="2500"/>
    <n v="5"/>
    <n v="5"/>
    <n v="2493.75"/>
    <x v="5"/>
    <x v="1"/>
    <x v="1"/>
  </r>
  <r>
    <s v="ORD-1444"/>
    <x v="154"/>
    <s v="Neha Singh"/>
    <s v="CUST-444"/>
    <s v="nehasing@outlook.com"/>
    <s v="8104042880"/>
    <s v="Hydrabad"/>
    <s v="Telangana"/>
    <x v="0"/>
    <s v="PROD-124"/>
    <x v="6"/>
    <x v="2"/>
    <s v="Audio"/>
    <x v="6"/>
    <n v="4"/>
    <n v="2800"/>
    <n v="12"/>
    <n v="18"/>
    <n v="11630.08"/>
    <x v="0"/>
    <x v="0"/>
    <x v="1"/>
  </r>
  <r>
    <s v="ORD-1445"/>
    <x v="164"/>
    <s v="Aarav Shah"/>
    <s v="CUST-445"/>
    <s v="aaravsha@yahoo.com"/>
    <s v="6135068330"/>
    <s v="Bengaluru"/>
    <s v="Karnataka"/>
    <x v="0"/>
    <s v="PROD-125"/>
    <x v="1"/>
    <x v="1"/>
    <s v="Gold"/>
    <x v="1"/>
    <n v="1"/>
    <n v="25000"/>
    <n v="20"/>
    <n v="3"/>
    <n v="20600"/>
    <x v="0"/>
    <x v="3"/>
    <x v="1"/>
  </r>
  <r>
    <s v="ORD-1446"/>
    <x v="165"/>
    <s v="Arjun Mehta"/>
    <s v="CUST-446"/>
    <s v="arjunmeh@yahoo.com"/>
    <s v="8648329782"/>
    <s v="Delhi"/>
    <s v="Delhi"/>
    <x v="2"/>
    <s v="PROD-106"/>
    <x v="16"/>
    <x v="4"/>
    <s v="Appliance"/>
    <x v="15"/>
    <n v="10"/>
    <n v="42000"/>
    <n v="0"/>
    <n v="18"/>
    <n v="495600"/>
    <x v="5"/>
    <x v="1"/>
    <x v="0"/>
  </r>
  <r>
    <s v="ORD-1447"/>
    <x v="138"/>
    <s v="Rashmi Verma"/>
    <s v="CUST-447"/>
    <s v="rashmive@yahoo.com"/>
    <s v="9807897578"/>
    <s v="Bengaluru"/>
    <s v="Karnataka"/>
    <x v="0"/>
    <s v="PROD-114"/>
    <x v="15"/>
    <x v="4"/>
    <s v="Kitchen"/>
    <x v="14"/>
    <n v="10"/>
    <n v="3200"/>
    <n v="10"/>
    <n v="18"/>
    <n v="33984"/>
    <x v="0"/>
    <x v="3"/>
    <x v="1"/>
  </r>
  <r>
    <s v="ORD-1448"/>
    <x v="62"/>
    <s v="Dinesh K"/>
    <s v="CUST-448"/>
    <s v="dineshk@yahoo.com"/>
    <s v="6662017406"/>
    <s v="Delhi"/>
    <s v="Delhi"/>
    <x v="2"/>
    <s v="PROD-119"/>
    <x v="3"/>
    <x v="3"/>
    <s v="Accessories"/>
    <x v="3"/>
    <n v="2"/>
    <n v="3500"/>
    <n v="8"/>
    <n v="18"/>
    <n v="7599.2"/>
    <x v="3"/>
    <x v="4"/>
    <x v="1"/>
  </r>
  <r>
    <s v="ORD-1449"/>
    <x v="16"/>
    <s v="Kavitha N"/>
    <s v="CUST-449"/>
    <s v="kavithan@rediffmail.com"/>
    <s v="9180118830"/>
    <s v="Kochi"/>
    <s v="Kerala"/>
    <x v="0"/>
    <s v="PROD-112"/>
    <x v="7"/>
    <x v="0"/>
    <s v="Snacks"/>
    <x v="7"/>
    <n v="8"/>
    <n v="50"/>
    <n v="5"/>
    <n v="5"/>
    <n v="399"/>
    <x v="0"/>
    <x v="3"/>
    <x v="1"/>
  </r>
  <r>
    <s v="ORD-1450"/>
    <x v="134"/>
    <s v="Saranya M"/>
    <s v="CUST-450"/>
    <s v="saranyam@outlook.com"/>
    <s v="8064384875"/>
    <s v="Hydrabad"/>
    <s v="Telangana"/>
    <x v="0"/>
    <s v="PROD-120"/>
    <x v="4"/>
    <x v="2"/>
    <s v="Mobile"/>
    <x v="4"/>
    <n v="1"/>
    <n v="14000"/>
    <n v="8"/>
    <n v="18"/>
    <n v="15198.4"/>
    <x v="5"/>
    <x v="3"/>
    <x v="1"/>
  </r>
  <r>
    <s v="ORD-1451"/>
    <x v="166"/>
    <s v="Amit Singh"/>
    <s v="CUST-451"/>
    <s v="amitsing@gmail.com"/>
    <s v="8723512559"/>
    <s v="Surat"/>
    <s v="Gujarat"/>
    <x v="1"/>
    <s v="PROD-114"/>
    <x v="15"/>
    <x v="4"/>
    <s v="Kitchen"/>
    <x v="14"/>
    <n v="2"/>
    <n v="3200"/>
    <n v="0"/>
    <n v="18"/>
    <n v="7552"/>
    <x v="2"/>
    <x v="3"/>
    <x v="0"/>
  </r>
  <r>
    <s v="ORD-1452"/>
    <x v="156"/>
    <s v="Arjun Mehta"/>
    <s v="CUST-452"/>
    <s v="arjunmeh@hotmail.com"/>
    <s v="8102907940"/>
    <s v="Kolkata"/>
    <s v="West Bengal"/>
    <x v="3"/>
    <s v="PROD-115"/>
    <x v="2"/>
    <x v="2"/>
    <s v="Mobile"/>
    <x v="2"/>
    <n v="6"/>
    <n v="28000"/>
    <n v="5"/>
    <n v="18"/>
    <n v="188328"/>
    <x v="0"/>
    <x v="4"/>
    <x v="0"/>
  </r>
  <r>
    <s v="ORD-1453"/>
    <x v="123"/>
    <s v="Rashmi Verma"/>
    <s v="MISSING"/>
    <s v="rashmive@yahoo.com"/>
    <s v="7179811350"/>
    <s v="Kochi"/>
    <s v="Kerala"/>
    <x v="3"/>
    <s v="PROD-109"/>
    <x v="8"/>
    <x v="2"/>
    <s v="Computer"/>
    <x v="8"/>
    <n v="5"/>
    <n v="0"/>
    <n v="0"/>
    <n v="18"/>
    <n v="0"/>
    <x v="0"/>
    <x v="0"/>
    <x v="0"/>
  </r>
  <r>
    <s v="ORD-1454"/>
    <x v="8"/>
    <s v="Aarav Shah"/>
    <s v="CUST-454"/>
    <s v="aaravsha@outlook.com"/>
    <s v="6340519100"/>
    <s v="Hydrabad"/>
    <s v="Telangana"/>
    <x v="0"/>
    <s v="PROD-108"/>
    <x v="0"/>
    <x v="0"/>
    <s v="Beverage"/>
    <x v="0"/>
    <n v="10"/>
    <n v="450"/>
    <n v="5"/>
    <n v="5"/>
    <n v="4488.75"/>
    <x v="2"/>
    <x v="4"/>
    <x v="1"/>
  </r>
  <r>
    <s v="ORD-1455"/>
    <x v="105"/>
    <s v="Swati Gupta"/>
    <s v="CUST-455"/>
    <s v="swatigup@outlook.com"/>
    <s v="6080397265"/>
    <s v="Bengaluru"/>
    <s v="Karnataka"/>
    <x v="0"/>
    <s v="PROD-119"/>
    <x v="3"/>
    <x v="3"/>
    <s v="Accessories"/>
    <x v="3"/>
    <n v="4"/>
    <n v="3500"/>
    <n v="20"/>
    <n v="18"/>
    <n v="13216"/>
    <x v="5"/>
    <x v="0"/>
    <x v="0"/>
  </r>
  <r>
    <s v="ORD-1456"/>
    <x v="26"/>
    <s v="Manoj Kumar"/>
    <s v="CUST-456"/>
    <s v="manojkum@outlook.com"/>
    <s v="9669431030"/>
    <s v="Chennai"/>
    <s v="Tamil Nadu"/>
    <x v="0"/>
    <s v="PROD-115"/>
    <x v="2"/>
    <x v="2"/>
    <s v="Mobile"/>
    <x v="2"/>
    <n v="1"/>
    <n v="28000"/>
    <n v="25"/>
    <n v="18"/>
    <n v="24780"/>
    <x v="0"/>
    <x v="3"/>
    <x v="1"/>
  </r>
  <r>
    <s v="ORD-1457"/>
    <x v="167"/>
    <s v="Nisha Patel"/>
    <s v="CUST-457"/>
    <s v="nishapat@rediffmail.com"/>
    <s v="6100538078"/>
    <s v="Pune"/>
    <s v="Maharashtra"/>
    <x v="1"/>
    <s v="PROD-106"/>
    <x v="16"/>
    <x v="4"/>
    <s v="Appliance"/>
    <x v="15"/>
    <n v="2"/>
    <n v="42000"/>
    <n v="15"/>
    <n v="18"/>
    <n v="84252"/>
    <x v="3"/>
    <x v="3"/>
    <x v="0"/>
  </r>
  <r>
    <s v="ORD-1458"/>
    <x v="46"/>
    <s v="Rahul Gupta"/>
    <s v="CUST-458"/>
    <s v="rahulgup@rediffmail.com"/>
    <s v="8707013363"/>
    <s v="Chennai"/>
    <s v="Tamil Nadu"/>
    <x v="0"/>
    <s v="PROD-108"/>
    <x v="0"/>
    <x v="0"/>
    <s v="Beverage"/>
    <x v="0"/>
    <n v="2"/>
    <n v="450"/>
    <n v="8"/>
    <n v="5"/>
    <n v="869.40000000000009"/>
    <x v="0"/>
    <x v="2"/>
    <x v="1"/>
  </r>
  <r>
    <s v="ORD-1459"/>
    <x v="114"/>
    <s v="Deepa Krishnan"/>
    <s v="CUST-459"/>
    <s v="deepakri@gmail.com"/>
    <s v="8662537389"/>
    <s v="Lucknow"/>
    <s v="Uttar Pradesh"/>
    <x v="2"/>
    <s v="PROD-118"/>
    <x v="5"/>
    <x v="4"/>
    <s v="Appliance"/>
    <x v="5"/>
    <n v="8"/>
    <n v="12000"/>
    <n v="15"/>
    <n v="18"/>
    <n v="96288"/>
    <x v="5"/>
    <x v="3"/>
    <x v="1"/>
  </r>
  <r>
    <s v="ORD-1460"/>
    <x v="59"/>
    <s v="Arun Sharma"/>
    <s v="CUST-460"/>
    <s v="arunshar@yahoo.com"/>
    <s v="9841614871"/>
    <s v="Delhi"/>
    <s v="Delhi"/>
    <x v="2"/>
    <s v="PROD-124"/>
    <x v="20"/>
    <x v="2"/>
    <s v="Audio"/>
    <x v="6"/>
    <n v="8"/>
    <n v="0"/>
    <n v="20"/>
    <n v="18"/>
    <n v="0"/>
    <x v="3"/>
    <x v="3"/>
    <x v="0"/>
  </r>
  <r>
    <s v="ORD-1461"/>
    <x v="122"/>
    <s v="Priya Sharma"/>
    <s v="CUST-461"/>
    <s v="priyasha@gmail.com"/>
    <s v="9793989568"/>
    <s v="Pune"/>
    <s v="Maharashtra"/>
    <x v="1"/>
    <s v="PROD-115"/>
    <x v="2"/>
    <x v="2"/>
    <s v="Mobile"/>
    <x v="2"/>
    <n v="8"/>
    <n v="28000"/>
    <n v="8"/>
    <n v="18"/>
    <n v="243174.39999999999"/>
    <x v="1"/>
    <x v="0"/>
    <x v="1"/>
  </r>
  <r>
    <s v="ORD-1462"/>
    <x v="151"/>
    <s v="Unknown"/>
    <s v="CUST-462"/>
    <s v="user@rediffmail.com"/>
    <s v="6725649626"/>
    <s v="Bengaluru"/>
    <s v="Karnataka"/>
    <x v="0"/>
    <s v="PROD-120"/>
    <x v="4"/>
    <x v="2"/>
    <s v="Mobile"/>
    <x v="4"/>
    <n v="1"/>
    <n v="14000"/>
    <n v="15"/>
    <n v="18"/>
    <n v="14042"/>
    <x v="3"/>
    <x v="3"/>
    <x v="1"/>
  </r>
  <r>
    <s v="ORD-1463"/>
    <x v="41"/>
    <s v="Neha Singh"/>
    <s v="CUST-463"/>
    <s v="nehasing@yahoo.com"/>
    <s v="799099179"/>
    <s v="Bengaluru"/>
    <s v="Karnataka"/>
    <x v="0"/>
    <s v="PROD-105"/>
    <x v="19"/>
    <x v="2"/>
    <s v="Audio"/>
    <x v="18"/>
    <n v="2"/>
    <n v="1500"/>
    <n v="15"/>
    <n v="18"/>
    <n v="3009"/>
    <x v="4"/>
    <x v="1"/>
    <x v="1"/>
  </r>
  <r>
    <s v="ORD-1464"/>
    <x v="127"/>
    <s v="Ravi Shankar"/>
    <s v="CUST-464"/>
    <s v="ravishan@rediffmail.com"/>
    <s v="7743089433"/>
    <s v="Kochi"/>
    <s v="Kerala"/>
    <x v="0"/>
    <s v="PROD-110"/>
    <x v="17"/>
    <x v="3"/>
    <s v="Traditional"/>
    <x v="16"/>
    <n v="8"/>
    <n v="3500"/>
    <n v="12"/>
    <n v="5"/>
    <n v="25872"/>
    <x v="0"/>
    <x v="1"/>
    <x v="1"/>
  </r>
  <r>
    <s v="ORD-1465"/>
    <x v="84"/>
    <s v="Venkat Reddy"/>
    <s v="CUST-465"/>
    <s v="venkatre@outlook.com"/>
    <s v="6513641216"/>
    <s v="Kolkata"/>
    <s v="West Bengal"/>
    <x v="3"/>
    <s v="PROD-112"/>
    <x v="7"/>
    <x v="0"/>
    <s v="Snacks"/>
    <x v="7"/>
    <n v="7"/>
    <n v="50"/>
    <n v="8"/>
    <n v="5"/>
    <n v="338.1"/>
    <x v="5"/>
    <x v="3"/>
    <x v="0"/>
  </r>
  <r>
    <s v="ORD-1466"/>
    <x v="128"/>
    <s v="Divya Nair"/>
    <s v="CUST-466"/>
    <s v="divyanai@yahoo.com"/>
    <s v="6784624638"/>
    <s v="Kochi"/>
    <s v="Kerala"/>
    <x v="0"/>
    <s v="PROD-119"/>
    <x v="3"/>
    <x v="3"/>
    <s v="Accessories"/>
    <x v="3"/>
    <n v="9"/>
    <n v="3500"/>
    <n v="5"/>
    <n v="18"/>
    <n v="35311.5"/>
    <x v="5"/>
    <x v="2"/>
    <x v="1"/>
  </r>
  <r>
    <s v="ORD-1467"/>
    <x v="143"/>
    <s v="Vijay Patel"/>
    <s v="CUST-467"/>
    <s v="vijaypat@gmail.com"/>
    <s v="6358141037"/>
    <s v="Ahmedabad"/>
    <s v="Gujarat"/>
    <x v="1"/>
    <s v="PROD-115"/>
    <x v="2"/>
    <x v="2"/>
    <s v="Mobile"/>
    <x v="2"/>
    <n v="4"/>
    <n v="28000"/>
    <n v="12"/>
    <n v="18"/>
    <n v="116300.79999999999"/>
    <x v="0"/>
    <x v="3"/>
    <x v="0"/>
  </r>
  <r>
    <s v="ORD-1468"/>
    <x v="14"/>
    <s v="Venkat Reddy"/>
    <s v="CUST-468"/>
    <s v="venkatre@outlook.com"/>
    <s v="7465194957"/>
    <s v="Pune"/>
    <s v="Maharashtra"/>
    <x v="1"/>
    <s v="PROD-119"/>
    <x v="3"/>
    <x v="3"/>
    <s v="Accessories"/>
    <x v="3"/>
    <n v="2"/>
    <n v="3500"/>
    <n v="25"/>
    <n v="18"/>
    <n v="6195"/>
    <x v="4"/>
    <x v="3"/>
    <x v="0"/>
  </r>
  <r>
    <s v="ORD-1469"/>
    <x v="97"/>
    <s v="Anita Verma"/>
    <s v="CUST-469"/>
    <s v="anitaver@yahoo.com"/>
    <s v="7374457648"/>
    <s v="Chennai"/>
    <s v="Tamil Nadu"/>
    <x v="0"/>
    <s v="PROD-121"/>
    <x v="13"/>
    <x v="0"/>
    <s v="Dairy"/>
    <x v="12"/>
    <n v="6"/>
    <n v="280"/>
    <n v="20"/>
    <n v="5"/>
    <n v="1411.2"/>
    <x v="1"/>
    <x v="0"/>
    <x v="1"/>
  </r>
  <r>
    <s v="ORD-1470"/>
    <x v="6"/>
    <s v="Deepika Rao"/>
    <s v="CUST-470"/>
    <s v="deepikar@outlook.com"/>
    <s v="9121194116"/>
    <s v="Mumbai"/>
    <s v="Maharashtra"/>
    <x v="1"/>
    <s v="PROD-110"/>
    <x v="17"/>
    <x v="3"/>
    <s v="Traditional"/>
    <x v="16"/>
    <n v="4"/>
    <n v="3500"/>
    <n v="8"/>
    <n v="5"/>
    <n v="13524"/>
    <x v="0"/>
    <x v="3"/>
    <x v="1"/>
  </r>
  <r>
    <s v="ORD-1471"/>
    <x v="42"/>
    <s v="Unknown"/>
    <s v="CUST-471"/>
    <s v="user@hotmail.com"/>
    <s v="6856640430"/>
    <s v="Lucknow"/>
    <s v="Uttar Pradesh"/>
    <x v="2"/>
    <s v="PROD-114"/>
    <x v="15"/>
    <x v="4"/>
    <s v="Kitchen"/>
    <x v="14"/>
    <n v="1"/>
    <n v="3200"/>
    <n v="80"/>
    <n v="18"/>
    <n v="755.19999999999982"/>
    <x v="4"/>
    <x v="4"/>
    <x v="0"/>
  </r>
  <r>
    <s v="ORD-1472"/>
    <x v="144"/>
    <s v="Sanjay Shah"/>
    <s v="CUST-472"/>
    <s v="sanjaysh@outlook.com"/>
    <s v="8026541115"/>
    <s v="Kolkata"/>
    <s v="West Bengal"/>
    <x v="3"/>
    <s v="PROD-109"/>
    <x v="8"/>
    <x v="2"/>
    <s v="Computer"/>
    <x v="8"/>
    <n v="10"/>
    <n v="55000"/>
    <n v="25"/>
    <n v="18"/>
    <n v="486750"/>
    <x v="1"/>
    <x v="2"/>
    <x v="0"/>
  </r>
  <r>
    <s v="ORD-1473"/>
    <x v="23"/>
    <s v="Kavya Rao"/>
    <s v="CUST-473"/>
    <s v="kavyarao@yahoo.com"/>
    <s v="7979136775"/>
    <s v="Delhi"/>
    <s v="Delhi"/>
    <x v="2"/>
    <s v="PROD-125"/>
    <x v="1"/>
    <x v="1"/>
    <s v="Gold"/>
    <x v="1"/>
    <n v="10"/>
    <n v="25000"/>
    <n v="12"/>
    <n v="3"/>
    <n v="226600"/>
    <x v="3"/>
    <x v="2"/>
    <x v="0"/>
  </r>
  <r>
    <s v="ORD-1474"/>
    <x v="155"/>
    <s v="Neha Singh"/>
    <s v="CUST-474"/>
    <s v="nehasing@outlook.com"/>
    <s v="8427974255"/>
    <s v="Lucknow"/>
    <s v="Uttar Pradesh"/>
    <x v="2"/>
    <s v="PROD-123"/>
    <x v="11"/>
    <x v="4"/>
    <s v="Lighting"/>
    <x v="11"/>
    <n v="7"/>
    <n v="299"/>
    <n v="0"/>
    <n v="18"/>
    <n v="2469.7399999999998"/>
    <x v="1"/>
    <x v="2"/>
    <x v="0"/>
  </r>
  <r>
    <s v="ORD-1475"/>
    <x v="10"/>
    <s v="Rohit Yadav"/>
    <s v="CUST-475"/>
    <s v="rohityad@outlook.com"/>
    <s v="9175950536"/>
    <s v="Chennai"/>
    <s v="Tamil Nadu"/>
    <x v="0"/>
    <s v="PROD-118"/>
    <x v="5"/>
    <x v="4"/>
    <s v="Appliance"/>
    <x v="5"/>
    <n v="8"/>
    <n v="12000"/>
    <n v="20"/>
    <n v="18"/>
    <n v="90624"/>
    <x v="3"/>
    <x v="0"/>
    <x v="0"/>
  </r>
  <r>
    <s v="ORD-1476"/>
    <x v="127"/>
    <s v="Swati Gupta"/>
    <s v="CUST-476"/>
    <s v="swatigup@gmail.com"/>
    <s v="Not provided"/>
    <s v="Hydrabad"/>
    <s v="Telangana"/>
    <x v="0"/>
    <s v="PROD-110"/>
    <x v="20"/>
    <x v="3"/>
    <s v="Traditional"/>
    <x v="16"/>
    <n v="5"/>
    <n v="3500"/>
    <n v="10"/>
    <n v="5"/>
    <n v="16537.5"/>
    <x v="0"/>
    <x v="1"/>
    <x v="0"/>
  </r>
  <r>
    <s v="ORD-1477"/>
    <x v="42"/>
    <s v="Dinesh K"/>
    <s v="CUST-477"/>
    <s v="dineshk@yahoo.com"/>
    <s v="7714457336"/>
    <s v="Mumbai"/>
    <s v="Maharashtra"/>
    <x v="1"/>
    <s v="PROD-118"/>
    <x v="5"/>
    <x v="4"/>
    <s v="Appliance"/>
    <x v="5"/>
    <n v="4"/>
    <n v="12000"/>
    <n v="10"/>
    <n v="18"/>
    <n v="50976"/>
    <x v="3"/>
    <x v="2"/>
    <x v="1"/>
  </r>
  <r>
    <s v="ORD-1478"/>
    <x v="168"/>
    <s v="Divya Nair"/>
    <s v="CUST-478"/>
    <s v="divyanai@hotmail.com"/>
    <s v="Not provided"/>
    <s v="Pune"/>
    <s v="Maharashtra"/>
    <x v="1"/>
    <s v="PROD-119"/>
    <x v="3"/>
    <x v="3"/>
    <s v="Accessories"/>
    <x v="3"/>
    <n v="9"/>
    <n v="3500"/>
    <n v="15"/>
    <n v="18"/>
    <n v="31594.5"/>
    <x v="5"/>
    <x v="2"/>
    <x v="0"/>
  </r>
  <r>
    <s v="ORD-1479"/>
    <x v="73"/>
    <s v="Suresh Babu"/>
    <s v="CUST-479"/>
    <s v="sureshba@yahoo.com"/>
    <s v="6167464267"/>
    <s v="Bengaluru"/>
    <s v="Karnataka"/>
    <x v="0"/>
    <s v="PROD-104"/>
    <x v="22"/>
    <x v="4"/>
    <s v="Kitchen"/>
    <x v="20"/>
    <n v="5"/>
    <n v="2200"/>
    <n v="80"/>
    <n v="12"/>
    <n v="2463.9999999999995"/>
    <x v="1"/>
    <x v="1"/>
    <x v="0"/>
  </r>
  <r>
    <s v="ORD-1480"/>
    <x v="165"/>
    <s v="Sneha Reddy"/>
    <s v="CUST-480"/>
    <s v="snehared@outlook.com"/>
    <s v="613867393"/>
    <s v="Kolkata"/>
    <s v="West Bengal"/>
    <x v="3"/>
    <s v="PROD-124"/>
    <x v="6"/>
    <x v="2"/>
    <s v="Audio"/>
    <x v="6"/>
    <n v="3"/>
    <n v="2800"/>
    <n v="8"/>
    <n v="18"/>
    <n v="9119.0399999999991"/>
    <x v="1"/>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2F401-EABD-4459-AF71-E69010CA93A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6:V7" firstHeaderRow="1" firstDataRow="1" firstDataCol="0"/>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_Amount2" fld="18" subtotal="average"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452508-A6D0-499A-AAD3-55692293033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58:B64" firstHeaderRow="1" firstDataRow="1" firstDataCol="1"/>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numFmtId="3" showAll="0"/>
    <pivotField showAll="0"/>
    <pivotField axis="axisRow" dataField="1"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6">
    <i>
      <x v="1"/>
    </i>
    <i>
      <x v="3"/>
    </i>
    <i>
      <x v="4"/>
    </i>
    <i>
      <x/>
    </i>
    <i>
      <x v="2"/>
    </i>
    <i t="grand">
      <x/>
    </i>
  </rowItems>
  <colItems count="1">
    <i/>
  </colItems>
  <dataFields count="1">
    <dataField name="Count of Order_Status" fld="2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3"/>
          </reference>
        </references>
      </pivotArea>
    </chartFormat>
    <chartFormat chart="0" format="3">
      <pivotArea type="data" outline="0" fieldPosition="0">
        <references count="2">
          <reference field="4294967294" count="1" selected="0">
            <x v="0"/>
          </reference>
          <reference field="20" count="1" selected="0">
            <x v="4"/>
          </reference>
        </references>
      </pivotArea>
    </chartFormat>
    <chartFormat chart="0" format="4">
      <pivotArea type="data" outline="0" fieldPosition="0">
        <references count="2">
          <reference field="4294967294" count="1" selected="0">
            <x v="0"/>
          </reference>
          <reference field="20" count="1" selected="0">
            <x v="0"/>
          </reference>
        </references>
      </pivotArea>
    </chartFormat>
    <chartFormat chart="0" format="5">
      <pivotArea type="data" outline="0" fieldPosition="0">
        <references count="2">
          <reference field="4294967294" count="1" selected="0">
            <x v="0"/>
          </reference>
          <reference field="20"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0" count="1" selected="0">
            <x v="1"/>
          </reference>
        </references>
      </pivotArea>
    </chartFormat>
    <chartFormat chart="4" format="14">
      <pivotArea type="data" outline="0" fieldPosition="0">
        <references count="2">
          <reference field="4294967294" count="1" selected="0">
            <x v="0"/>
          </reference>
          <reference field="20" count="1" selected="0">
            <x v="3"/>
          </reference>
        </references>
      </pivotArea>
    </chartFormat>
    <chartFormat chart="4" format="15">
      <pivotArea type="data" outline="0" fieldPosition="0">
        <references count="2">
          <reference field="4294967294" count="1" selected="0">
            <x v="0"/>
          </reference>
          <reference field="20" count="1" selected="0">
            <x v="4"/>
          </reference>
        </references>
      </pivotArea>
    </chartFormat>
    <chartFormat chart="4" format="16">
      <pivotArea type="data" outline="0" fieldPosition="0">
        <references count="2">
          <reference field="4294967294" count="1" selected="0">
            <x v="0"/>
          </reference>
          <reference field="20" count="1" selected="0">
            <x v="0"/>
          </reference>
        </references>
      </pivotArea>
    </chartFormat>
    <chartFormat chart="4" format="17">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EC7474-142F-4E62-B2BD-D6FBAAE4465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1:B82" firstHeaderRow="1" firstDataRow="1" firstDataCol="1"/>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axis="axisRow" showAll="0" measureFilter="1">
      <items count="27">
        <item x="24"/>
        <item x="13"/>
        <item x="17"/>
        <item x="19"/>
        <item x="7"/>
        <item x="20"/>
        <item x="3"/>
        <item x="8"/>
        <item x="9"/>
        <item x="10"/>
        <item x="16"/>
        <item x="0"/>
        <item x="23"/>
        <item x="2"/>
        <item x="14"/>
        <item x="15"/>
        <item x="22"/>
        <item x="6"/>
        <item x="4"/>
        <item x="12"/>
        <item x="11"/>
        <item x="1"/>
        <item x="18"/>
        <item x="21"/>
        <item x="5"/>
        <item x="25"/>
        <item t="default"/>
      </items>
    </pivotField>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1">
    <i>
      <x v="7"/>
    </i>
    <i>
      <x v="8"/>
    </i>
    <i>
      <x v="10"/>
    </i>
    <i>
      <x v="13"/>
    </i>
    <i>
      <x v="18"/>
    </i>
    <i>
      <x v="19"/>
    </i>
    <i>
      <x v="21"/>
    </i>
    <i>
      <x v="22"/>
    </i>
    <i>
      <x v="24"/>
    </i>
    <i>
      <x v="25"/>
    </i>
    <i t="grand">
      <x/>
    </i>
  </rowItems>
  <colItems count="1">
    <i/>
  </colItems>
  <dataFields count="1">
    <dataField name="Sum of Total_Amount2" fld="18" baseField="0" baseItem="0" numFmtId="167"/>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1A3D30-CAF5-4CDA-8C90-3AC55D57CB8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9:B16" firstHeaderRow="1" firstDataRow="1" firstDataCol="1"/>
  <pivotFields count="24">
    <pivotField showAll="0"/>
    <pivotField axis="axisRow"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1"/>
  </rowFields>
  <rowItems count="7">
    <i>
      <x v="1"/>
    </i>
    <i>
      <x v="2"/>
    </i>
    <i>
      <x v="3"/>
    </i>
    <i>
      <x v="4"/>
    </i>
    <i>
      <x v="5"/>
    </i>
    <i>
      <x v="6"/>
    </i>
    <i t="grand">
      <x/>
    </i>
  </rowItems>
  <colItems count="1">
    <i/>
  </colItems>
  <dataFields count="1">
    <dataField name="Sum of Total_Amount2" fld="18" baseField="0" baseItem="0" numFmtId="167"/>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FDA2EE-C190-4B77-B4CA-8FA341E0F4E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5:T6" firstHeaderRow="1" firstDataRow="1" firstDataCol="0"/>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ld="18" baseField="0" baseItem="0" numFmtId="167"/>
  </dataFields>
  <formats count="4">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B061D6-CFBB-40F2-931B-2F26490B1C8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2:B48" firstHeaderRow="1" firstDataRow="1" firstDataCol="1"/>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v="3"/>
    </i>
    <i>
      <x v="4"/>
    </i>
    <i>
      <x v="2"/>
    </i>
    <i>
      <x v="1"/>
    </i>
    <i>
      <x/>
    </i>
    <i t="grand">
      <x/>
    </i>
  </rowItems>
  <colItems count="1">
    <i/>
  </colItems>
  <dataFields count="1">
    <dataField name="Sum of Total_Amount2" fld="18" baseField="0" baseItem="0" numFmtId="167"/>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C60D79-129D-4501-9ACA-3460DCFBAC1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87:B89" firstHeaderRow="1" firstDataRow="1" firstDataCol="1"/>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numFmtId="3" showAll="0"/>
    <pivotField axis="axisRow" dataField="1" showAll="0">
      <items count="8">
        <item h="1" x="0"/>
        <item h="1" m="1" x="6"/>
        <item h="1" x="5"/>
        <item h="1" x="3"/>
        <item h="1" x="4"/>
        <item x="2"/>
        <item h="1" x="1"/>
        <item t="default"/>
      </items>
    </pivotField>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2">
    <i>
      <x v="5"/>
    </i>
    <i t="grand">
      <x/>
    </i>
  </rowItems>
  <colItems count="1">
    <i/>
  </colItems>
  <dataFields count="1">
    <dataField name="Count of Payment_Mod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5AE6DE-510C-470B-BADD-FB9470E3C7E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5:U6" firstHeaderRow="1" firstDataRow="1" firstDataCol="0"/>
  <pivotFields count="24">
    <pivotField dataField="1"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Orders" fld="0" subtotal="count" baseField="0" baseItem="0"/>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9A3207-4E57-49E0-9C01-09F10B376421}"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5:Z7" firstHeaderRow="1" firstDataRow="1" firstDataCol="1"/>
  <pivotFields count="24">
    <pivotField dataField="1"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numFmtId="3" showAll="0"/>
    <pivotField showAll="0"/>
    <pivotField showAll="0">
      <items count="6">
        <item x="0"/>
        <item x="3"/>
        <item x="4"/>
        <item x="1"/>
        <item x="2"/>
        <item t="default"/>
      </items>
    </pivotField>
    <pivotField axis="axisRow" showAll="0" sumSubtotal="1" avgSubtotal="1">
      <items count="4">
        <item h="1" x="0"/>
        <item x="1"/>
        <item t="avg"/>
        <item t="sum"/>
      </items>
    </pivotField>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2">
    <i>
      <x v="1"/>
    </i>
    <i t="grand">
      <x/>
    </i>
  </rowItems>
  <colItems count="1">
    <i/>
  </colItems>
  <dataFields count="1">
    <dataField name="Count of Order_ID" fld="0" subtotal="count" baseField="0" baseItem="0"/>
  </dataFields>
  <formats count="5">
    <format dxfId="14">
      <pivotArea collapsedLevelsAreSubtotals="1" fieldPosition="0">
        <references count="1">
          <reference field="21" count="0"/>
        </references>
      </pivotArea>
    </format>
    <format dxfId="13">
      <pivotArea dataOnly="0" labelOnly="1" fieldPosition="0">
        <references count="1">
          <reference field="21" count="0"/>
        </references>
      </pivotArea>
    </format>
    <format dxfId="12">
      <pivotArea collapsedLevelsAreSubtotals="1" fieldPosition="0">
        <references count="1">
          <reference field="21" count="0"/>
        </references>
      </pivotArea>
    </format>
    <format dxfId="11">
      <pivotArea dataOnly="0" labelOnly="1" fieldPosition="0">
        <references count="1">
          <reference field="21" count="0"/>
        </references>
      </pivotArea>
    </format>
    <format dxfId="10">
      <pivotArea collapsedLevelsAreSubtotals="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19B748-023B-4D47-BB1E-8DD49361813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A6:AA7" firstHeaderRow="1" firstDataRow="1" firstDataCol="0"/>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items count="6">
        <item x="2"/>
        <item x="3"/>
        <item x="0"/>
        <item x="4"/>
        <item x="1"/>
        <item t="default"/>
      </items>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dataField="1" numFmtId="2" showAll="0"/>
    <pivotField numFmtId="2" showAll="0"/>
    <pivotField numFmtId="166" showAll="0"/>
    <pivotField showAll="0"/>
    <pivotField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Quantity"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D404C2-5BAC-489E-B882-5B1E0C64E9E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5:B31" firstHeaderRow="1" firstDataRow="1" firstDataCol="1"/>
  <pivotFields count="24">
    <pivotField showAll="0"/>
    <pivotField showAll="0">
      <items count="170">
        <item x="28"/>
        <item x="133"/>
        <item x="103"/>
        <item x="26"/>
        <item x="71"/>
        <item x="139"/>
        <item x="42"/>
        <item x="95"/>
        <item x="131"/>
        <item x="109"/>
        <item x="100"/>
        <item x="60"/>
        <item x="43"/>
        <item x="128"/>
        <item x="19"/>
        <item x="137"/>
        <item x="69"/>
        <item x="10"/>
        <item x="12"/>
        <item x="62"/>
        <item x="123"/>
        <item x="85"/>
        <item x="3"/>
        <item x="145"/>
        <item x="143"/>
        <item x="151"/>
        <item x="78"/>
        <item x="152"/>
        <item x="11"/>
        <item x="68"/>
        <item x="29"/>
        <item x="5"/>
        <item x="48"/>
        <item x="53"/>
        <item x="108"/>
        <item x="79"/>
        <item x="127"/>
        <item x="33"/>
        <item x="132"/>
        <item x="63"/>
        <item x="149"/>
        <item x="110"/>
        <item x="75"/>
        <item x="94"/>
        <item x="73"/>
        <item x="97"/>
        <item x="163"/>
        <item x="31"/>
        <item x="142"/>
        <item x="154"/>
        <item x="77"/>
        <item x="44"/>
        <item x="118"/>
        <item x="87"/>
        <item x="81"/>
        <item x="6"/>
        <item x="39"/>
        <item x="45"/>
        <item x="59"/>
        <item x="17"/>
        <item x="27"/>
        <item x="58"/>
        <item x="90"/>
        <item x="107"/>
        <item x="113"/>
        <item x="116"/>
        <item x="54"/>
        <item x="153"/>
        <item x="111"/>
        <item x="72"/>
        <item x="124"/>
        <item x="148"/>
        <item x="64"/>
        <item x="160"/>
        <item x="165"/>
        <item x="84"/>
        <item x="93"/>
        <item x="162"/>
        <item x="24"/>
        <item x="14"/>
        <item x="13"/>
        <item x="74"/>
        <item x="67"/>
        <item x="126"/>
        <item x="46"/>
        <item x="104"/>
        <item x="23"/>
        <item x="55"/>
        <item x="66"/>
        <item x="125"/>
        <item x="96"/>
        <item x="88"/>
        <item x="150"/>
        <item x="91"/>
        <item x="158"/>
        <item x="115"/>
        <item x="8"/>
        <item x="7"/>
        <item x="57"/>
        <item x="70"/>
        <item x="50"/>
        <item x="114"/>
        <item x="65"/>
        <item x="76"/>
        <item x="86"/>
        <item x="34"/>
        <item x="38"/>
        <item x="18"/>
        <item x="40"/>
        <item x="82"/>
        <item x="159"/>
        <item x="49"/>
        <item x="20"/>
        <item x="129"/>
        <item x="25"/>
        <item x="168"/>
        <item x="102"/>
        <item x="166"/>
        <item x="99"/>
        <item x="140"/>
        <item x="32"/>
        <item x="98"/>
        <item x="4"/>
        <item x="9"/>
        <item x="156"/>
        <item x="83"/>
        <item x="122"/>
        <item x="52"/>
        <item x="157"/>
        <item x="101"/>
        <item x="155"/>
        <item x="21"/>
        <item x="89"/>
        <item x="51"/>
        <item x="164"/>
        <item x="37"/>
        <item x="141"/>
        <item x="135"/>
        <item x="92"/>
        <item x="138"/>
        <item x="22"/>
        <item x="30"/>
        <item x="0"/>
        <item x="146"/>
        <item x="41"/>
        <item x="119"/>
        <item x="105"/>
        <item x="161"/>
        <item x="61"/>
        <item x="35"/>
        <item x="167"/>
        <item x="106"/>
        <item x="130"/>
        <item x="120"/>
        <item x="144"/>
        <item x="136"/>
        <item x="47"/>
        <item x="121"/>
        <item x="134"/>
        <item x="36"/>
        <item x="15"/>
        <item x="56"/>
        <item x="16"/>
        <item x="112"/>
        <item x="2"/>
        <item x="117"/>
        <item x="80"/>
        <item x="147"/>
        <item x="1"/>
        <item t="default"/>
      </items>
    </pivotField>
    <pivotField showAll="0"/>
    <pivotField showAll="0"/>
    <pivotField showAll="0"/>
    <pivotField showAll="0"/>
    <pivotField showAll="0"/>
    <pivotField showAll="0"/>
    <pivotField showAll="0">
      <items count="6">
        <item x="4"/>
        <item x="3"/>
        <item x="2"/>
        <item x="0"/>
        <item x="1"/>
        <item t="default"/>
      </items>
    </pivotField>
    <pivotField showAll="0"/>
    <pivotField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pivotField showAll="0">
      <items count="25">
        <item x="22"/>
        <item x="12"/>
        <item x="9"/>
        <item x="18"/>
        <item x="7"/>
        <item x="16"/>
        <item x="3"/>
        <item x="8"/>
        <item x="10"/>
        <item x="15"/>
        <item x="0"/>
        <item x="21"/>
        <item x="2"/>
        <item x="13"/>
        <item x="14"/>
        <item x="20"/>
        <item x="6"/>
        <item x="4"/>
        <item x="11"/>
        <item x="1"/>
        <item x="17"/>
        <item x="19"/>
        <item x="5"/>
        <item x="23"/>
        <item t="default"/>
      </items>
    </pivotField>
    <pivotField numFmtId="2" showAll="0"/>
    <pivotField numFmtId="2" showAll="0"/>
    <pivotField numFmtId="166" showAll="0"/>
    <pivotField showAll="0"/>
    <pivotField dataField="1" numFmtId="3" showAll="0"/>
    <pivotField showAll="0"/>
    <pivotField showAll="0">
      <items count="6">
        <item x="0"/>
        <item x="3"/>
        <item x="4"/>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
    <i>
      <x/>
    </i>
    <i>
      <x v="3"/>
    </i>
    <i>
      <x v="4"/>
    </i>
    <i>
      <x v="1"/>
    </i>
    <i>
      <x v="2"/>
    </i>
    <i t="grand">
      <x/>
    </i>
  </rowItems>
  <colItems count="1">
    <i/>
  </colItems>
  <dataFields count="1">
    <dataField name="Sum of Total_Amount2" fld="18" baseField="0" baseItem="0" numFmtId="167"/>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3576AD-A67A-4034-B6AE-B4EA43526A2C}" sourceName="Region">
  <pivotTables>
    <pivotTable tabId="3" name="PivotTable1"/>
    <pivotTable tabId="3" name="PivotTable2"/>
    <pivotTable tabId="3" name="PivotTable3"/>
    <pivotTable tabId="3" name="PivotTable4"/>
    <pivotTable tabId="3" name="PivotTable5"/>
    <pivotTable tabId="3" name="PivotTable6"/>
    <pivotTable tabId="3" name="PivotTable13"/>
    <pivotTable tabId="3" name="PivotTable7"/>
    <pivotTable tabId="3" name="PivotTable8"/>
    <pivotTable tabId="3" name="PivotTable9"/>
    <pivotTable tabId="3" name="PivotTable15"/>
  </pivotTables>
  <data>
    <tabular pivotCacheId="790879649">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3E9D6B-29BF-4B5E-A479-E074F8636D22}" sourceName="Category">
  <pivotTables>
    <pivotTable tabId="3" name="PivotTable1"/>
    <pivotTable tabId="3" name="PivotTable2"/>
    <pivotTable tabId="3" name="PivotTable3"/>
    <pivotTable tabId="3" name="PivotTable4"/>
    <pivotTable tabId="3" name="PivotTable5"/>
    <pivotTable tabId="3" name="PivotTable6"/>
    <pivotTable tabId="3" name="PivotTable13"/>
    <pivotTable tabId="3" name="PivotTable7"/>
    <pivotTable tabId="3" name="PivotTable8"/>
    <pivotTable tabId="3" name="PivotTable9"/>
    <pivotTable tabId="3" name="PivotTable15"/>
  </pivotTables>
  <data>
    <tabular pivotCacheId="790879649">
      <items count="5">
        <i x="2" s="1"/>
        <i x="3"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E50159B-D6D2-4CB2-B85F-4588C378A640}" sourceName="Brand">
  <pivotTables>
    <pivotTable tabId="3" name="PivotTable1"/>
    <pivotTable tabId="3" name="PivotTable2"/>
    <pivotTable tabId="3" name="PivotTable3"/>
    <pivotTable tabId="3" name="PivotTable4"/>
    <pivotTable tabId="3" name="PivotTable5"/>
    <pivotTable tabId="3" name="PivotTable6"/>
    <pivotTable tabId="3" name="PivotTable13"/>
    <pivotTable tabId="3" name="PivotTable7"/>
    <pivotTable tabId="3" name="PivotTable8"/>
    <pivotTable tabId="3" name="PivotTable9"/>
    <pivotTable tabId="3" name="PivotTable15"/>
  </pivotTables>
  <data>
    <tabular pivotCacheId="790879649">
      <items count="24">
        <i x="22" s="1"/>
        <i x="12" s="1"/>
        <i x="9" s="1"/>
        <i x="18" s="1"/>
        <i x="7" s="1"/>
        <i x="16" s="1"/>
        <i x="3" s="1"/>
        <i x="8" s="1"/>
        <i x="10" s="1"/>
        <i x="15" s="1"/>
        <i x="0" s="1"/>
        <i x="21" s="1"/>
        <i x="2" s="1"/>
        <i x="13" s="1"/>
        <i x="14" s="1"/>
        <i x="20" s="1"/>
        <i x="6" s="1"/>
        <i x="4" s="1"/>
        <i x="11" s="1"/>
        <i x="1" s="1"/>
        <i x="17" s="1"/>
        <i x="19" s="1"/>
        <i x="5"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4CF05BE-985E-4C54-823D-48E72DEA3026}" sourceName="Order_Status">
  <pivotTables>
    <pivotTable tabId="3" name="PivotTable1"/>
    <pivotTable tabId="3" name="PivotTable2"/>
    <pivotTable tabId="3" name="PivotTable3"/>
    <pivotTable tabId="3" name="PivotTable4"/>
    <pivotTable tabId="3" name="PivotTable5"/>
    <pivotTable tabId="3" name="PivotTable6"/>
    <pivotTable tabId="3" name="PivotTable13"/>
    <pivotTable tabId="3" name="PivotTable7"/>
    <pivotTable tabId="3" name="PivotTable8"/>
    <pivotTable tabId="3" name="PivotTable9"/>
    <pivotTable tabId="3" name="PivotTable15"/>
  </pivotTables>
  <data>
    <tabular pivotCacheId="790879649">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7F59EA3-F27D-4AAF-8B90-992D386AEBF9}" sourceName="Order_Date">
  <pivotTables>
    <pivotTable tabId="3" name="PivotTable13"/>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5"/>
  </pivotTables>
  <data>
    <tabular pivotCacheId="790879649">
      <items count="169">
        <i x="28" s="1"/>
        <i x="133" s="1"/>
        <i x="103" s="1"/>
        <i x="26" s="1"/>
        <i x="71" s="1"/>
        <i x="139" s="1"/>
        <i x="42" s="1"/>
        <i x="95" s="1"/>
        <i x="131" s="1"/>
        <i x="109" s="1"/>
        <i x="100" s="1"/>
        <i x="60" s="1"/>
        <i x="43" s="1"/>
        <i x="128" s="1"/>
        <i x="19" s="1"/>
        <i x="137" s="1"/>
        <i x="69" s="1"/>
        <i x="10" s="1"/>
        <i x="12" s="1"/>
        <i x="62" s="1"/>
        <i x="123" s="1"/>
        <i x="85" s="1"/>
        <i x="3" s="1"/>
        <i x="145" s="1"/>
        <i x="143" s="1"/>
        <i x="151" s="1"/>
        <i x="78" s="1"/>
        <i x="152" s="1"/>
        <i x="11" s="1"/>
        <i x="68" s="1"/>
        <i x="29" s="1"/>
        <i x="5" s="1"/>
        <i x="48" s="1"/>
        <i x="53" s="1"/>
        <i x="108" s="1"/>
        <i x="79" s="1"/>
        <i x="127" s="1"/>
        <i x="33" s="1"/>
        <i x="132" s="1"/>
        <i x="63" s="1"/>
        <i x="149" s="1"/>
        <i x="110" s="1"/>
        <i x="75" s="1"/>
        <i x="94" s="1"/>
        <i x="73" s="1"/>
        <i x="97" s="1"/>
        <i x="163" s="1"/>
        <i x="31" s="1"/>
        <i x="142" s="1"/>
        <i x="154" s="1"/>
        <i x="77" s="1"/>
        <i x="44" s="1"/>
        <i x="118" s="1"/>
        <i x="87" s="1"/>
        <i x="81" s="1"/>
        <i x="6" s="1"/>
        <i x="39" s="1"/>
        <i x="45" s="1"/>
        <i x="59" s="1"/>
        <i x="17" s="1"/>
        <i x="27" s="1"/>
        <i x="58" s="1"/>
        <i x="90" s="1"/>
        <i x="107" s="1"/>
        <i x="113" s="1"/>
        <i x="116" s="1"/>
        <i x="54" s="1"/>
        <i x="153" s="1"/>
        <i x="111" s="1"/>
        <i x="72" s="1"/>
        <i x="124" s="1"/>
        <i x="148" s="1"/>
        <i x="64" s="1"/>
        <i x="160" s="1"/>
        <i x="165" s="1"/>
        <i x="84" s="1"/>
        <i x="93" s="1"/>
        <i x="162" s="1"/>
        <i x="24" s="1"/>
        <i x="14" s="1"/>
        <i x="13" s="1"/>
        <i x="74" s="1"/>
        <i x="67" s="1"/>
        <i x="126" s="1"/>
        <i x="46" s="1"/>
        <i x="104" s="1"/>
        <i x="23" s="1"/>
        <i x="55" s="1"/>
        <i x="66" s="1"/>
        <i x="125" s="1"/>
        <i x="96" s="1"/>
        <i x="88" s="1"/>
        <i x="150" s="1"/>
        <i x="91" s="1"/>
        <i x="158" s="1"/>
        <i x="115" s="1"/>
        <i x="8" s="1"/>
        <i x="7" s="1"/>
        <i x="57" s="1"/>
        <i x="70" s="1"/>
        <i x="50" s="1"/>
        <i x="114" s="1"/>
        <i x="65" s="1"/>
        <i x="76" s="1"/>
        <i x="86" s="1"/>
        <i x="34" s="1"/>
        <i x="38" s="1"/>
        <i x="18" s="1"/>
        <i x="40" s="1"/>
        <i x="82" s="1"/>
        <i x="159" s="1"/>
        <i x="49" s="1"/>
        <i x="20" s="1"/>
        <i x="129" s="1"/>
        <i x="25" s="1"/>
        <i x="168" s="1"/>
        <i x="102" s="1"/>
        <i x="166" s="1"/>
        <i x="99" s="1"/>
        <i x="140" s="1"/>
        <i x="32" s="1"/>
        <i x="98" s="1"/>
        <i x="4" s="1"/>
        <i x="9" s="1"/>
        <i x="156" s="1"/>
        <i x="83" s="1"/>
        <i x="122" s="1"/>
        <i x="52" s="1"/>
        <i x="157" s="1"/>
        <i x="101" s="1"/>
        <i x="155" s="1"/>
        <i x="21" s="1"/>
        <i x="89" s="1"/>
        <i x="51" s="1"/>
        <i x="164" s="1"/>
        <i x="37" s="1"/>
        <i x="141" s="1"/>
        <i x="135" s="1"/>
        <i x="92" s="1"/>
        <i x="138" s="1"/>
        <i x="22" s="1"/>
        <i x="30" s="1"/>
        <i x="0" s="1"/>
        <i x="146" s="1"/>
        <i x="41" s="1"/>
        <i x="119" s="1"/>
        <i x="105" s="1"/>
        <i x="161" s="1"/>
        <i x="61" s="1"/>
        <i x="35" s="1"/>
        <i x="167" s="1"/>
        <i x="106" s="1"/>
        <i x="130" s="1"/>
        <i x="120" s="1"/>
        <i x="144" s="1"/>
        <i x="136" s="1"/>
        <i x="47" s="1"/>
        <i x="121" s="1"/>
        <i x="134" s="1"/>
        <i x="36" s="1"/>
        <i x="15" s="1"/>
        <i x="56" s="1"/>
        <i x="16" s="1"/>
        <i x="112" s="1"/>
        <i x="2" s="1"/>
        <i x="117" s="1"/>
        <i x="80" s="1"/>
        <i x="14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3E3FE28-F70E-476B-B95D-E11C62828826}" cache="Slicer_Region" caption="Region" style="drak red" rowHeight="241300"/>
  <slicer name="Category 1" xr10:uid="{2EF52CEC-7047-4D39-9B8C-C0FAC189E14A}" cache="Slicer_Category" caption="Category" style="drak red" rowHeight="241300"/>
  <slicer name="Brand 1" xr10:uid="{A2017FEF-AC8F-477A-8065-6D6EADCFA3E8}" cache="Slicer_Brand" caption="Brand" style="drak red" rowHeight="241300"/>
  <slicer name="Order_Status 1" xr10:uid="{A5D3DF6D-66A5-46DF-8CD2-AAE4CEE44461}" cache="Slicer_Order_Status" caption="Order_Status" style="drak r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741755-219B-4DA4-AA0B-78D0D2154E61}" cache="Slicer_Region" caption="Region" rowHeight="241300"/>
  <slicer name="Category" xr10:uid="{99FA120A-B8BE-4BD8-81E7-0CA8BC07F1AE}" cache="Slicer_Category" caption="Category" rowHeight="241300"/>
  <slicer name="Brand" xr10:uid="{BF9DB984-1E1B-4DA5-AB70-AF96F29E15EE}" cache="Slicer_Brand" caption="Brand" rowHeight="241300"/>
  <slicer name="Order_Status" xr10:uid="{E6CEB522-B1C6-497D-8F5F-3DFC6B89CC64}" cache="Slicer_Order_Status" caption="Order_Status" rowHeight="241300"/>
  <slicer name="Order_Date 2" xr10:uid="{2C61FC8E-3547-4CE4-A10E-C3106A95A282}" cache="Slicer_Order_Date" caption="Order_Date" startItem="3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CFA1C-5DB0-4145-9888-6C3DCF7C3CA2}" name="Table1" displayName="Table1" ref="A1:V481" totalsRowShown="0" headerRowDxfId="32" headerRowBorderDxfId="31" tableBorderDxfId="30">
  <autoFilter ref="A1:V481" xr:uid="{127CFA1C-5DB0-4145-9888-6C3DCF7C3CA2}"/>
  <tableColumns count="22">
    <tableColumn id="1" xr3:uid="{F717B8CB-BE5E-48F5-A008-756A0D8D07A1}" name="Order_ID"/>
    <tableColumn id="28" xr3:uid="{5AC00098-8FF8-457A-A57A-AD31AB648E27}" name="Order_Date" dataDxfId="29"/>
    <tableColumn id="23" xr3:uid="{E8E95DF9-CC92-4AE2-8E02-BBB9E456965C}" name="Customer_Name" dataDxfId="28">
      <calculatedColumnFormula>PROPER(TRIM(CLEAN(#REF!)))</calculatedColumnFormula>
    </tableColumn>
    <tableColumn id="24" xr3:uid="{6465D64B-E3C7-4095-AAB1-1DA36A6BACFE}" name="Customer_ID" dataDxfId="27">
      <calculatedColumnFormula>IF(ISBLANK(#REF!),"MISSING",#REF!)</calculatedColumnFormula>
    </tableColumn>
    <tableColumn id="5" xr3:uid="{42BA9DF7-9FFC-4F16-A786-5E5660AAE5BB}" name="Email"/>
    <tableColumn id="6" xr3:uid="{8CC700E6-BBDD-4B93-988C-9A7BDC07C527}" name="Phone"/>
    <tableColumn id="26" xr3:uid="{4CA27A20-728A-4C38-8321-77DB90EC9F5F}" name="City" dataDxfId="26"/>
    <tableColumn id="8" xr3:uid="{5E03FB59-6617-4243-9825-1C594CC16AA6}" name="State"/>
    <tableColumn id="2" xr3:uid="{2F40B10F-579C-4DBE-A1A6-086E67878370}" name="Region" dataDxfId="25"/>
    <tableColumn id="10" xr3:uid="{747D0DA8-7DA7-4539-999F-6FC4AAF74293}" name="Product_ID"/>
    <tableColumn id="11" xr3:uid="{870FB8D2-BD7A-4AD8-9EDA-F9A5FE07B153}" name="Product_Name"/>
    <tableColumn id="3" xr3:uid="{D8ABF2DF-E255-4CAB-8B31-F5A4A179F386}" name="Category" dataDxfId="24"/>
    <tableColumn id="13" xr3:uid="{222145C0-7EDC-4BE2-B8C1-037D2A929B35}" name="Sub_Category"/>
    <tableColumn id="14" xr3:uid="{CF913CE6-7883-4008-BF29-3766C6F7E0EB}" name="Brand" dataDxfId="23"/>
    <tableColumn id="31" xr3:uid="{39683AED-E819-4EC8-B55B-F2ABD81DF03C}" name="Quantity" dataDxfId="22"/>
    <tableColumn id="34" xr3:uid="{908D1C65-14C8-444D-9B63-3CCE58EA7FD0}" name="Unit_Price" dataDxfId="21"/>
    <tableColumn id="33" xr3:uid="{32953D22-207D-4FBB-8EDE-7B4BB344AE4D}" name="Discount_%" dataDxfId="20"/>
    <tableColumn id="18" xr3:uid="{716F7DDA-D1CE-41B4-9394-A88E1BC7A901}" name="GST_%" dataDxfId="19"/>
    <tableColumn id="7" xr3:uid="{34A92B58-F3DE-4C38-8F09-83ADEE0CC58B}" name="Total_Amount2" dataDxfId="18"/>
    <tableColumn id="4" xr3:uid="{80CC7C93-32E4-4E0D-BEED-5334A2C75877}" name="Payment_Mode" dataDxfId="17"/>
    <tableColumn id="21" xr3:uid="{28B5CC9E-3BDD-492E-98D2-59C158B07E81}" name="Order_Status"/>
    <tableColumn id="29" xr3:uid="{4B1C9327-69D2-4E43-B2C2-895155526F48}" name="Return_Flag"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E147889-5BC6-46BB-A797-C5CEF2A1D1D3}" sourceName="Order_Date">
  <pivotTables>
    <pivotTable tabId="3" name="PivotTable2"/>
    <pivotTable tabId="3" name="PivotTable1"/>
    <pivotTable tabId="3" name="PivotTable3"/>
    <pivotTable tabId="3" name="PivotTable4"/>
    <pivotTable tabId="3" name="PivotTable5"/>
    <pivotTable tabId="3" name="PivotTable6"/>
    <pivotTable tabId="3" name="PivotTable13"/>
    <pivotTable tabId="3" name="PivotTable7"/>
    <pivotTable tabId="3" name="PivotTable8"/>
    <pivotTable tabId="3" name="PivotTable9"/>
    <pivotTable tabId="3" name="PivotTable15"/>
  </pivotTables>
  <state minimalRefreshVersion="6" lastRefreshVersion="6" pivotCacheId="79087964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8C32CEC-A921-4864-99D2-0AA5E856DAAB}" cache="NativeTimeline_Order_Date" caption="Order_Date" level="2" selectionLevel="2" scrollPosition="2024-01-01T00:00:00" style="time red"/>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0429794-A7C2-42F7-808C-35C71E3FCF60}" cache="NativeTimeline_Order_Date" caption="Order_Date" level="2" selectionLevel="2" scrollPosition="2024-05-18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B7FE-39A9-4287-824D-C5BD5E4C4782}">
  <dimension ref="A1:V481"/>
  <sheetViews>
    <sheetView topLeftCell="L1" workbookViewId="0">
      <selection activeCell="T2" sqref="T2"/>
    </sheetView>
  </sheetViews>
  <sheetFormatPr defaultRowHeight="14.5" x14ac:dyDescent="0.35"/>
  <cols>
    <col min="1" max="1" width="13.08984375" bestFit="1" customWidth="1"/>
    <col min="2" max="2" width="13.08984375" customWidth="1"/>
    <col min="3" max="3" width="19.6328125" bestFit="1" customWidth="1"/>
    <col min="4" max="4" width="12.90625" bestFit="1" customWidth="1"/>
    <col min="5" max="5" width="20" bestFit="1" customWidth="1"/>
    <col min="6" max="6" width="10.81640625" bestFit="1" customWidth="1"/>
    <col min="7" max="7" width="10.81640625" customWidth="1"/>
    <col min="8" max="8" width="12.54296875" bestFit="1" customWidth="1"/>
    <col min="9" max="9" width="8.81640625" customWidth="1"/>
    <col min="10" max="10" width="15.453125" customWidth="1"/>
    <col min="11" max="11" width="22" bestFit="1" customWidth="1"/>
    <col min="12" max="12" width="15" customWidth="1"/>
    <col min="13" max="13" width="12.7265625" bestFit="1" customWidth="1"/>
    <col min="14" max="14" width="12.7265625" customWidth="1"/>
    <col min="15" max="15" width="12.90625" customWidth="1"/>
    <col min="16" max="16" width="9.1796875" customWidth="1"/>
    <col min="17" max="17" width="14.81640625" customWidth="1"/>
    <col min="18" max="18" width="16" customWidth="1"/>
    <col min="19" max="20" width="14.36328125" customWidth="1"/>
    <col min="21" max="21" width="16.90625" bestFit="1" customWidth="1"/>
  </cols>
  <sheetData>
    <row r="1" spans="1:22" x14ac:dyDescent="0.35">
      <c r="A1" s="7" t="s">
        <v>0</v>
      </c>
      <c r="B1" s="9" t="s">
        <v>1</v>
      </c>
      <c r="C1" s="9" t="s">
        <v>2</v>
      </c>
      <c r="D1" s="9" t="s">
        <v>1792</v>
      </c>
      <c r="E1" s="7" t="s">
        <v>3</v>
      </c>
      <c r="F1" s="7" t="s">
        <v>4</v>
      </c>
      <c r="G1" s="7" t="s">
        <v>5</v>
      </c>
      <c r="H1" s="7" t="s">
        <v>6</v>
      </c>
      <c r="I1" s="7" t="s">
        <v>7</v>
      </c>
      <c r="J1" s="7" t="s">
        <v>8</v>
      </c>
      <c r="K1" s="7" t="s">
        <v>9</v>
      </c>
      <c r="L1" s="7" t="s">
        <v>10</v>
      </c>
      <c r="M1" s="7" t="s">
        <v>11</v>
      </c>
      <c r="N1" s="7" t="s">
        <v>12</v>
      </c>
      <c r="O1" s="9" t="s">
        <v>13</v>
      </c>
      <c r="P1" s="9" t="s">
        <v>14</v>
      </c>
      <c r="Q1" s="9" t="s">
        <v>15</v>
      </c>
      <c r="R1" s="7" t="s">
        <v>16</v>
      </c>
      <c r="S1" s="9" t="s">
        <v>1791</v>
      </c>
      <c r="T1" s="9" t="s">
        <v>17</v>
      </c>
      <c r="U1" s="7" t="s">
        <v>18</v>
      </c>
      <c r="V1" s="9" t="s">
        <v>1795</v>
      </c>
    </row>
    <row r="2" spans="1:22" x14ac:dyDescent="0.35">
      <c r="A2" s="1" t="s">
        <v>19</v>
      </c>
      <c r="B2" s="11">
        <v>45442</v>
      </c>
      <c r="C2" s="8" t="s">
        <v>1764</v>
      </c>
      <c r="D2" s="8" t="s">
        <v>20</v>
      </c>
      <c r="E2" s="2" t="s">
        <v>21</v>
      </c>
      <c r="F2" s="2" t="s">
        <v>22</v>
      </c>
      <c r="G2" s="2" t="s">
        <v>237</v>
      </c>
      <c r="H2" s="1" t="s">
        <v>23</v>
      </c>
      <c r="I2" s="1" t="s">
        <v>24</v>
      </c>
      <c r="J2" s="1" t="s">
        <v>25</v>
      </c>
      <c r="K2" s="2" t="s">
        <v>26</v>
      </c>
      <c r="L2" s="2" t="s">
        <v>27</v>
      </c>
      <c r="M2" s="2" t="s">
        <v>28</v>
      </c>
      <c r="N2" s="2" t="s">
        <v>29</v>
      </c>
      <c r="O2" s="12">
        <v>2</v>
      </c>
      <c r="P2" s="12">
        <v>450</v>
      </c>
      <c r="Q2" s="13">
        <v>0</v>
      </c>
      <c r="R2" s="1">
        <v>5</v>
      </c>
      <c r="S2" s="4">
        <v>945</v>
      </c>
      <c r="T2" s="4" t="s">
        <v>294</v>
      </c>
      <c r="U2" s="2" t="s">
        <v>30</v>
      </c>
      <c r="V2" s="2" t="s">
        <v>95</v>
      </c>
    </row>
    <row r="3" spans="1:22" x14ac:dyDescent="0.35">
      <c r="A3" s="5" t="s">
        <v>31</v>
      </c>
      <c r="B3" s="11">
        <v>45472</v>
      </c>
      <c r="C3" s="6" t="s">
        <v>32</v>
      </c>
      <c r="D3" s="6" t="s">
        <v>33</v>
      </c>
      <c r="E3" s="6" t="s">
        <v>34</v>
      </c>
      <c r="F3" s="6" t="s">
        <v>35</v>
      </c>
      <c r="G3" s="6" t="s">
        <v>36</v>
      </c>
      <c r="H3" s="5" t="s">
        <v>37</v>
      </c>
      <c r="I3" s="5" t="s">
        <v>38</v>
      </c>
      <c r="J3" s="5" t="s">
        <v>39</v>
      </c>
      <c r="K3" s="6" t="s">
        <v>40</v>
      </c>
      <c r="L3" s="6" t="s">
        <v>41</v>
      </c>
      <c r="M3" s="6" t="s">
        <v>42</v>
      </c>
      <c r="N3" s="6" t="s">
        <v>43</v>
      </c>
      <c r="O3" s="12">
        <v>10</v>
      </c>
      <c r="P3" s="12">
        <v>25000</v>
      </c>
      <c r="Q3" s="14">
        <v>20</v>
      </c>
      <c r="R3" s="5">
        <v>3</v>
      </c>
      <c r="S3" s="4">
        <v>206000</v>
      </c>
      <c r="T3" s="4" t="s">
        <v>1793</v>
      </c>
      <c r="U3" s="3" t="s">
        <v>116</v>
      </c>
      <c r="V3" s="2" t="s">
        <v>95</v>
      </c>
    </row>
    <row r="4" spans="1:22" x14ac:dyDescent="0.35">
      <c r="A4" s="1" t="s">
        <v>44</v>
      </c>
      <c r="B4" s="11">
        <v>45467</v>
      </c>
      <c r="C4" s="2" t="s">
        <v>1765</v>
      </c>
      <c r="D4" s="2" t="s">
        <v>45</v>
      </c>
      <c r="E4" s="2" t="s">
        <v>46</v>
      </c>
      <c r="F4" s="2" t="s">
        <v>47</v>
      </c>
      <c r="G4" s="2" t="s">
        <v>109</v>
      </c>
      <c r="H4" s="1" t="s">
        <v>48</v>
      </c>
      <c r="I4" s="1" t="s">
        <v>24</v>
      </c>
      <c r="J4" s="1" t="s">
        <v>49</v>
      </c>
      <c r="K4" s="2" t="s">
        <v>50</v>
      </c>
      <c r="L4" s="2" t="s">
        <v>51</v>
      </c>
      <c r="M4" s="2" t="s">
        <v>52</v>
      </c>
      <c r="N4" s="2" t="s">
        <v>53</v>
      </c>
      <c r="O4" s="12">
        <v>5</v>
      </c>
      <c r="P4" s="12">
        <v>28000</v>
      </c>
      <c r="Q4" s="13">
        <v>10</v>
      </c>
      <c r="R4" s="1">
        <v>18</v>
      </c>
      <c r="S4" s="4">
        <v>148680</v>
      </c>
      <c r="T4" s="4" t="s">
        <v>54</v>
      </c>
      <c r="U4" s="3" t="s">
        <v>87</v>
      </c>
      <c r="V4" s="2" t="s">
        <v>95</v>
      </c>
    </row>
    <row r="5" spans="1:22" x14ac:dyDescent="0.35">
      <c r="A5" s="5" t="s">
        <v>55</v>
      </c>
      <c r="B5" s="11">
        <v>45315</v>
      </c>
      <c r="C5" s="6" t="s">
        <v>56</v>
      </c>
      <c r="D5" s="6" t="s">
        <v>57</v>
      </c>
      <c r="E5" s="6" t="s">
        <v>58</v>
      </c>
      <c r="F5" s="6" t="s">
        <v>59</v>
      </c>
      <c r="G5" s="6" t="s">
        <v>36</v>
      </c>
      <c r="H5" s="5" t="s">
        <v>37</v>
      </c>
      <c r="I5" s="5" t="s">
        <v>38</v>
      </c>
      <c r="J5" s="5" t="s">
        <v>60</v>
      </c>
      <c r="K5" s="6" t="s">
        <v>61</v>
      </c>
      <c r="L5" s="6" t="s">
        <v>62</v>
      </c>
      <c r="M5" s="6" t="s">
        <v>63</v>
      </c>
      <c r="N5" s="6" t="s">
        <v>64</v>
      </c>
      <c r="O5" s="12">
        <v>8</v>
      </c>
      <c r="P5" s="12">
        <v>3500</v>
      </c>
      <c r="Q5" s="14">
        <v>20</v>
      </c>
      <c r="R5" s="5">
        <v>18</v>
      </c>
      <c r="S5" s="4">
        <v>26432</v>
      </c>
      <c r="T5" s="4" t="s">
        <v>65</v>
      </c>
      <c r="U5" s="3" t="s">
        <v>87</v>
      </c>
      <c r="V5" s="2" t="s">
        <v>95</v>
      </c>
    </row>
    <row r="6" spans="1:22" x14ac:dyDescent="0.35">
      <c r="A6" s="1" t="s">
        <v>66</v>
      </c>
      <c r="B6" s="11">
        <v>45421</v>
      </c>
      <c r="C6" s="8" t="s">
        <v>1766</v>
      </c>
      <c r="D6" s="8" t="s">
        <v>67</v>
      </c>
      <c r="E6" s="2" t="s">
        <v>68</v>
      </c>
      <c r="F6" s="2" t="s">
        <v>69</v>
      </c>
      <c r="G6" s="2" t="s">
        <v>70</v>
      </c>
      <c r="H6" s="1" t="s">
        <v>70</v>
      </c>
      <c r="I6" s="1" t="s">
        <v>71</v>
      </c>
      <c r="J6" s="1" t="s">
        <v>72</v>
      </c>
      <c r="K6" s="2" t="s">
        <v>73</v>
      </c>
      <c r="L6" s="2" t="s">
        <v>51</v>
      </c>
      <c r="M6" s="2" t="s">
        <v>52</v>
      </c>
      <c r="N6" s="2" t="s">
        <v>74</v>
      </c>
      <c r="O6" s="12">
        <v>1</v>
      </c>
      <c r="P6" s="12">
        <v>14000</v>
      </c>
      <c r="Q6" s="13">
        <v>15</v>
      </c>
      <c r="R6" s="1">
        <v>18</v>
      </c>
      <c r="S6" s="4">
        <v>14042</v>
      </c>
      <c r="T6" s="4" t="s">
        <v>1794</v>
      </c>
      <c r="U6" s="3" t="s">
        <v>87</v>
      </c>
      <c r="V6" s="2" t="s">
        <v>95</v>
      </c>
    </row>
    <row r="7" spans="1:22" x14ac:dyDescent="0.35">
      <c r="A7" s="5" t="s">
        <v>75</v>
      </c>
      <c r="B7" s="11">
        <v>45324</v>
      </c>
      <c r="C7" s="6" t="s">
        <v>76</v>
      </c>
      <c r="D7" s="6" t="s">
        <v>77</v>
      </c>
      <c r="E7" s="6" t="s">
        <v>78</v>
      </c>
      <c r="F7" s="6" t="s">
        <v>79</v>
      </c>
      <c r="G7" s="6" t="s">
        <v>80</v>
      </c>
      <c r="H7" s="5" t="s">
        <v>81</v>
      </c>
      <c r="I7" s="5" t="s">
        <v>24</v>
      </c>
      <c r="J7" s="5" t="s">
        <v>82</v>
      </c>
      <c r="K7" s="6" t="s">
        <v>83</v>
      </c>
      <c r="L7" s="6" t="s">
        <v>84</v>
      </c>
      <c r="M7" s="6" t="s">
        <v>85</v>
      </c>
      <c r="N7" s="6" t="s">
        <v>86</v>
      </c>
      <c r="O7" s="12">
        <v>1</v>
      </c>
      <c r="P7" s="12">
        <v>12000</v>
      </c>
      <c r="Q7" s="14">
        <v>0</v>
      </c>
      <c r="R7" s="5">
        <v>18</v>
      </c>
      <c r="S7" s="4">
        <v>14160</v>
      </c>
      <c r="T7" s="4" t="s">
        <v>65</v>
      </c>
      <c r="U7" s="6" t="s">
        <v>87</v>
      </c>
      <c r="V7" s="2" t="s">
        <v>138</v>
      </c>
    </row>
    <row r="8" spans="1:22" x14ac:dyDescent="0.35">
      <c r="A8" s="1" t="s">
        <v>88</v>
      </c>
      <c r="B8" s="11">
        <v>45350</v>
      </c>
      <c r="C8" s="2" t="s">
        <v>1767</v>
      </c>
      <c r="D8" s="2" t="s">
        <v>89</v>
      </c>
      <c r="E8" s="2" t="s">
        <v>90</v>
      </c>
      <c r="F8" s="2" t="s">
        <v>91</v>
      </c>
      <c r="G8" s="2" t="s">
        <v>92</v>
      </c>
      <c r="H8" s="1" t="s">
        <v>93</v>
      </c>
      <c r="I8" s="1" t="s">
        <v>38</v>
      </c>
      <c r="J8" s="1" t="s">
        <v>39</v>
      </c>
      <c r="K8" s="2" t="s">
        <v>40</v>
      </c>
      <c r="L8" s="2" t="s">
        <v>41</v>
      </c>
      <c r="M8" s="2" t="s">
        <v>42</v>
      </c>
      <c r="N8" s="2" t="s">
        <v>43</v>
      </c>
      <c r="O8" s="12">
        <v>6</v>
      </c>
      <c r="P8" s="12">
        <v>25000</v>
      </c>
      <c r="Q8" s="13">
        <v>80</v>
      </c>
      <c r="R8" s="1">
        <v>3</v>
      </c>
      <c r="S8" s="4">
        <v>30899.999999999993</v>
      </c>
      <c r="T8" s="4" t="s">
        <v>94</v>
      </c>
      <c r="U8" s="3" t="s">
        <v>30</v>
      </c>
      <c r="V8" s="2" t="s">
        <v>95</v>
      </c>
    </row>
    <row r="9" spans="1:22" x14ac:dyDescent="0.35">
      <c r="A9" s="5" t="s">
        <v>96</v>
      </c>
      <c r="B9" s="10">
        <v>45395</v>
      </c>
      <c r="C9" s="6" t="s">
        <v>1768</v>
      </c>
      <c r="D9" s="6" t="s">
        <v>97</v>
      </c>
      <c r="E9" s="6" t="s">
        <v>98</v>
      </c>
      <c r="F9" s="6" t="s">
        <v>99</v>
      </c>
      <c r="G9" s="6" t="s">
        <v>92</v>
      </c>
      <c r="H9" s="5" t="s">
        <v>93</v>
      </c>
      <c r="I9" s="5" t="s">
        <v>38</v>
      </c>
      <c r="J9" s="5" t="s">
        <v>100</v>
      </c>
      <c r="K9" s="6" t="s">
        <v>101</v>
      </c>
      <c r="L9" s="6" t="s">
        <v>51</v>
      </c>
      <c r="M9" s="6" t="s">
        <v>102</v>
      </c>
      <c r="N9" s="6" t="s">
        <v>103</v>
      </c>
      <c r="O9" s="12">
        <v>7</v>
      </c>
      <c r="P9" s="12">
        <v>2800</v>
      </c>
      <c r="Q9" s="14">
        <v>25</v>
      </c>
      <c r="R9" s="5">
        <v>18</v>
      </c>
      <c r="S9" s="4">
        <v>17346</v>
      </c>
      <c r="T9" s="4" t="s">
        <v>54</v>
      </c>
      <c r="U9" s="6" t="s">
        <v>87</v>
      </c>
      <c r="V9" s="2" t="s">
        <v>95</v>
      </c>
    </row>
    <row r="10" spans="1:22" x14ac:dyDescent="0.35">
      <c r="A10" s="1" t="s">
        <v>104</v>
      </c>
      <c r="B10" s="10">
        <v>45394</v>
      </c>
      <c r="C10" s="2" t="s">
        <v>105</v>
      </c>
      <c r="D10" s="2" t="s">
        <v>106</v>
      </c>
      <c r="E10" s="2" t="s">
        <v>107</v>
      </c>
      <c r="F10" s="2" t="s">
        <v>108</v>
      </c>
      <c r="G10" s="2" t="s">
        <v>109</v>
      </c>
      <c r="H10" s="1" t="s">
        <v>48</v>
      </c>
      <c r="I10" s="1" t="s">
        <v>24</v>
      </c>
      <c r="J10" s="1" t="s">
        <v>49</v>
      </c>
      <c r="K10" s="2" t="s">
        <v>50</v>
      </c>
      <c r="L10" s="2" t="s">
        <v>51</v>
      </c>
      <c r="M10" s="2" t="s">
        <v>52</v>
      </c>
      <c r="N10" s="2" t="s">
        <v>53</v>
      </c>
      <c r="O10" s="12">
        <v>9</v>
      </c>
      <c r="P10" s="12">
        <v>28000</v>
      </c>
      <c r="Q10" s="13">
        <v>5</v>
      </c>
      <c r="R10" s="1">
        <v>18</v>
      </c>
      <c r="S10" s="4">
        <v>282492</v>
      </c>
      <c r="T10" s="4" t="s">
        <v>65</v>
      </c>
      <c r="U10" s="3" t="s">
        <v>137</v>
      </c>
      <c r="V10" s="8" t="s">
        <v>95</v>
      </c>
    </row>
    <row r="11" spans="1:22" x14ac:dyDescent="0.35">
      <c r="A11" s="5" t="s">
        <v>110</v>
      </c>
      <c r="B11" s="10">
        <v>45422</v>
      </c>
      <c r="C11" s="6" t="s">
        <v>1769</v>
      </c>
      <c r="D11" s="6" t="s">
        <v>111</v>
      </c>
      <c r="E11" s="6" t="s">
        <v>112</v>
      </c>
      <c r="F11" s="6" t="s">
        <v>113</v>
      </c>
      <c r="G11" s="6" t="s">
        <v>114</v>
      </c>
      <c r="H11" s="5" t="s">
        <v>115</v>
      </c>
      <c r="I11" s="5" t="s">
        <v>71</v>
      </c>
      <c r="J11" s="5" t="s">
        <v>100</v>
      </c>
      <c r="K11" s="6" t="s">
        <v>101</v>
      </c>
      <c r="L11" s="6" t="s">
        <v>51</v>
      </c>
      <c r="M11" s="6" t="s">
        <v>102</v>
      </c>
      <c r="N11" s="6" t="s">
        <v>103</v>
      </c>
      <c r="O11" s="12">
        <v>5</v>
      </c>
      <c r="P11" s="12">
        <v>2800</v>
      </c>
      <c r="Q11" s="14">
        <v>15</v>
      </c>
      <c r="R11" s="5">
        <v>18</v>
      </c>
      <c r="S11" s="4">
        <v>14042</v>
      </c>
      <c r="T11" s="4" t="s">
        <v>94</v>
      </c>
      <c r="U11" s="6" t="s">
        <v>116</v>
      </c>
      <c r="V11" s="2" t="s">
        <v>95</v>
      </c>
    </row>
    <row r="12" spans="1:22" x14ac:dyDescent="0.35">
      <c r="A12" s="1" t="s">
        <v>117</v>
      </c>
      <c r="B12" s="10">
        <v>45310</v>
      </c>
      <c r="C12" s="2" t="s">
        <v>56</v>
      </c>
      <c r="D12" s="2" t="s">
        <v>118</v>
      </c>
      <c r="E12" s="2" t="s">
        <v>119</v>
      </c>
      <c r="F12" s="2" t="s">
        <v>120</v>
      </c>
      <c r="G12" s="2" t="s">
        <v>109</v>
      </c>
      <c r="H12" s="1" t="s">
        <v>48</v>
      </c>
      <c r="I12" s="1" t="s">
        <v>24</v>
      </c>
      <c r="J12" s="1" t="s">
        <v>60</v>
      </c>
      <c r="K12" s="2" t="s">
        <v>61</v>
      </c>
      <c r="L12" s="2" t="s">
        <v>62</v>
      </c>
      <c r="M12" s="2" t="s">
        <v>63</v>
      </c>
      <c r="N12" s="2" t="s">
        <v>64</v>
      </c>
      <c r="O12" s="12">
        <v>10</v>
      </c>
      <c r="P12" s="12">
        <v>3500</v>
      </c>
      <c r="Q12" s="13">
        <v>15</v>
      </c>
      <c r="R12" s="1">
        <v>18</v>
      </c>
      <c r="S12" s="4">
        <v>35105</v>
      </c>
      <c r="T12" s="4" t="s">
        <v>1794</v>
      </c>
      <c r="U12" s="3" t="s">
        <v>137</v>
      </c>
      <c r="V12" s="2" t="s">
        <v>95</v>
      </c>
    </row>
    <row r="13" spans="1:22" x14ac:dyDescent="0.35">
      <c r="A13" s="5" t="s">
        <v>121</v>
      </c>
      <c r="B13" s="10">
        <v>45321</v>
      </c>
      <c r="C13" s="6" t="s">
        <v>1770</v>
      </c>
      <c r="D13" s="6" t="s">
        <v>122</v>
      </c>
      <c r="E13" s="6" t="s">
        <v>123</v>
      </c>
      <c r="F13" s="6" t="s">
        <v>124</v>
      </c>
      <c r="G13" s="6" t="s">
        <v>36</v>
      </c>
      <c r="H13" s="5" t="s">
        <v>37</v>
      </c>
      <c r="I13" s="5" t="s">
        <v>38</v>
      </c>
      <c r="J13" s="5" t="s">
        <v>125</v>
      </c>
      <c r="K13" s="6" t="s">
        <v>126</v>
      </c>
      <c r="L13" s="6" t="s">
        <v>27</v>
      </c>
      <c r="M13" s="6" t="s">
        <v>127</v>
      </c>
      <c r="N13" s="6" t="s">
        <v>128</v>
      </c>
      <c r="O13" s="12">
        <v>9</v>
      </c>
      <c r="P13" s="12">
        <v>50</v>
      </c>
      <c r="Q13" s="14">
        <v>0</v>
      </c>
      <c r="R13" s="5">
        <v>5</v>
      </c>
      <c r="S13" s="4">
        <v>472.5</v>
      </c>
      <c r="T13" s="4" t="s">
        <v>94</v>
      </c>
      <c r="U13" s="6" t="s">
        <v>116</v>
      </c>
      <c r="V13" s="2" t="s">
        <v>138</v>
      </c>
    </row>
    <row r="14" spans="1:22" x14ac:dyDescent="0.35">
      <c r="A14" s="1" t="s">
        <v>129</v>
      </c>
      <c r="B14" s="10">
        <v>45311</v>
      </c>
      <c r="C14" s="2" t="s">
        <v>32</v>
      </c>
      <c r="D14" s="2" t="s">
        <v>130</v>
      </c>
      <c r="E14" s="2" t="s">
        <v>131</v>
      </c>
      <c r="F14" s="2" t="s">
        <v>132</v>
      </c>
      <c r="G14" s="2" t="s">
        <v>92</v>
      </c>
      <c r="H14" s="1" t="s">
        <v>93</v>
      </c>
      <c r="I14" s="1" t="s">
        <v>38</v>
      </c>
      <c r="J14" s="1" t="s">
        <v>133</v>
      </c>
      <c r="K14" s="2" t="s">
        <v>134</v>
      </c>
      <c r="L14" s="2" t="s">
        <v>51</v>
      </c>
      <c r="M14" s="2" t="s">
        <v>135</v>
      </c>
      <c r="N14" s="2" t="s">
        <v>136</v>
      </c>
      <c r="O14" s="12">
        <v>7</v>
      </c>
      <c r="P14" s="12">
        <v>55000</v>
      </c>
      <c r="Q14" s="13">
        <v>12</v>
      </c>
      <c r="R14" s="1">
        <v>18</v>
      </c>
      <c r="S14" s="4">
        <v>399784</v>
      </c>
      <c r="T14" s="4" t="s">
        <v>94</v>
      </c>
      <c r="U14" s="2" t="s">
        <v>137</v>
      </c>
      <c r="V14" s="2" t="s">
        <v>138</v>
      </c>
    </row>
    <row r="15" spans="1:22" x14ac:dyDescent="0.35">
      <c r="A15" s="5" t="s">
        <v>139</v>
      </c>
      <c r="B15" s="10">
        <v>45377</v>
      </c>
      <c r="C15" s="6" t="s">
        <v>1771</v>
      </c>
      <c r="D15" s="6" t="s">
        <v>140</v>
      </c>
      <c r="E15" s="6" t="s">
        <v>141</v>
      </c>
      <c r="F15" s="6" t="s">
        <v>142</v>
      </c>
      <c r="G15" s="6" t="s">
        <v>114</v>
      </c>
      <c r="H15" s="5" t="s">
        <v>115</v>
      </c>
      <c r="I15" s="5" t="s">
        <v>71</v>
      </c>
      <c r="J15" s="5" t="s">
        <v>143</v>
      </c>
      <c r="K15" s="6" t="s">
        <v>144</v>
      </c>
      <c r="L15" s="6" t="s">
        <v>51</v>
      </c>
      <c r="M15" s="6" t="s">
        <v>52</v>
      </c>
      <c r="N15" s="6" t="s">
        <v>145</v>
      </c>
      <c r="O15" s="12">
        <v>9</v>
      </c>
      <c r="P15" s="12">
        <v>89000</v>
      </c>
      <c r="Q15" s="14">
        <v>10</v>
      </c>
      <c r="R15" s="5">
        <v>18</v>
      </c>
      <c r="S15" s="4">
        <v>850662</v>
      </c>
      <c r="T15" s="4" t="s">
        <v>294</v>
      </c>
      <c r="U15" s="6" t="s">
        <v>137</v>
      </c>
      <c r="V15" s="2" t="s">
        <v>95</v>
      </c>
    </row>
    <row r="16" spans="1:22" x14ac:dyDescent="0.35">
      <c r="A16" s="1" t="s">
        <v>146</v>
      </c>
      <c r="B16" s="10">
        <v>45376</v>
      </c>
      <c r="C16" s="2" t="s">
        <v>1772</v>
      </c>
      <c r="D16" s="2" t="s">
        <v>147</v>
      </c>
      <c r="E16" s="2" t="s">
        <v>148</v>
      </c>
      <c r="F16" s="2" t="s">
        <v>149</v>
      </c>
      <c r="G16" s="2" t="s">
        <v>150</v>
      </c>
      <c r="H16" s="1" t="s">
        <v>93</v>
      </c>
      <c r="I16" s="1" t="s">
        <v>38</v>
      </c>
      <c r="J16" s="1" t="s">
        <v>25</v>
      </c>
      <c r="K16" s="2" t="s">
        <v>26</v>
      </c>
      <c r="L16" s="2" t="s">
        <v>27</v>
      </c>
      <c r="M16" s="2" t="s">
        <v>28</v>
      </c>
      <c r="N16" s="2" t="s">
        <v>29</v>
      </c>
      <c r="O16" s="12">
        <v>4</v>
      </c>
      <c r="P16" s="12">
        <v>450</v>
      </c>
      <c r="Q16" s="13">
        <v>5</v>
      </c>
      <c r="R16" s="1">
        <v>5</v>
      </c>
      <c r="S16" s="4">
        <v>1795.5</v>
      </c>
      <c r="T16" s="4" t="s">
        <v>294</v>
      </c>
      <c r="U16" s="3" t="s">
        <v>30</v>
      </c>
      <c r="V16" s="2" t="s">
        <v>138</v>
      </c>
    </row>
    <row r="17" spans="1:22" x14ac:dyDescent="0.35">
      <c r="A17" s="5" t="s">
        <v>151</v>
      </c>
      <c r="B17" s="10">
        <v>45461</v>
      </c>
      <c r="C17" s="6" t="s">
        <v>1771</v>
      </c>
      <c r="D17" s="6" t="s">
        <v>152</v>
      </c>
      <c r="E17" s="6" t="s">
        <v>153</v>
      </c>
      <c r="F17" s="6" t="s">
        <v>154</v>
      </c>
      <c r="G17" s="6" t="s">
        <v>109</v>
      </c>
      <c r="H17" s="5" t="s">
        <v>48</v>
      </c>
      <c r="I17" s="5" t="s">
        <v>24</v>
      </c>
      <c r="J17" s="5" t="s">
        <v>125</v>
      </c>
      <c r="K17" s="6" t="s">
        <v>126</v>
      </c>
      <c r="L17" s="6" t="s">
        <v>27</v>
      </c>
      <c r="M17" s="6" t="s">
        <v>127</v>
      </c>
      <c r="N17" s="6" t="s">
        <v>128</v>
      </c>
      <c r="O17" s="12">
        <v>7</v>
      </c>
      <c r="P17" s="12">
        <v>50</v>
      </c>
      <c r="Q17" s="14">
        <v>10</v>
      </c>
      <c r="R17" s="5">
        <v>5</v>
      </c>
      <c r="S17" s="4">
        <v>330.75</v>
      </c>
      <c r="T17" s="4" t="s">
        <v>1793</v>
      </c>
      <c r="U17" s="3" t="s">
        <v>116</v>
      </c>
      <c r="V17" s="2" t="s">
        <v>95</v>
      </c>
    </row>
    <row r="18" spans="1:22" x14ac:dyDescent="0.35">
      <c r="A18" s="1" t="s">
        <v>155</v>
      </c>
      <c r="B18" s="10">
        <v>45464</v>
      </c>
      <c r="C18" s="2" t="s">
        <v>56</v>
      </c>
      <c r="D18" s="2" t="s">
        <v>156</v>
      </c>
      <c r="E18" s="2" t="s">
        <v>58</v>
      </c>
      <c r="F18" s="2" t="s">
        <v>157</v>
      </c>
      <c r="G18" s="2" t="s">
        <v>114</v>
      </c>
      <c r="H18" s="1" t="s">
        <v>115</v>
      </c>
      <c r="I18" s="1" t="s">
        <v>71</v>
      </c>
      <c r="J18" s="1" t="s">
        <v>158</v>
      </c>
      <c r="K18" s="2" t="s">
        <v>159</v>
      </c>
      <c r="L18" s="2" t="s">
        <v>62</v>
      </c>
      <c r="M18" s="2" t="s">
        <v>160</v>
      </c>
      <c r="N18" s="2" t="s">
        <v>161</v>
      </c>
      <c r="O18" s="12">
        <v>10</v>
      </c>
      <c r="P18" s="12">
        <v>2500</v>
      </c>
      <c r="Q18" s="13">
        <v>10</v>
      </c>
      <c r="R18" s="1">
        <v>5</v>
      </c>
      <c r="S18" s="4">
        <v>23625</v>
      </c>
      <c r="T18" s="4" t="s">
        <v>65</v>
      </c>
      <c r="U18" s="3" t="s">
        <v>137</v>
      </c>
      <c r="V18" s="2" t="s">
        <v>95</v>
      </c>
    </row>
    <row r="19" spans="1:22" x14ac:dyDescent="0.35">
      <c r="A19" s="5" t="s">
        <v>162</v>
      </c>
      <c r="B19" s="10">
        <v>45354</v>
      </c>
      <c r="C19" s="6" t="s">
        <v>1773</v>
      </c>
      <c r="D19" s="6" t="s">
        <v>163</v>
      </c>
      <c r="E19" s="6" t="s">
        <v>164</v>
      </c>
      <c r="F19" s="6" t="s">
        <v>165</v>
      </c>
      <c r="G19" s="6" t="s">
        <v>166</v>
      </c>
      <c r="H19" s="5" t="s">
        <v>167</v>
      </c>
      <c r="I19" s="5" t="s">
        <v>71</v>
      </c>
      <c r="J19" s="5" t="s">
        <v>39</v>
      </c>
      <c r="K19" s="6" t="s">
        <v>40</v>
      </c>
      <c r="L19" s="6" t="s">
        <v>41</v>
      </c>
      <c r="M19" s="6" t="s">
        <v>42</v>
      </c>
      <c r="N19" s="6" t="s">
        <v>43</v>
      </c>
      <c r="O19" s="12">
        <v>1</v>
      </c>
      <c r="P19" s="12">
        <v>25000</v>
      </c>
      <c r="Q19" s="14">
        <v>20</v>
      </c>
      <c r="R19" s="5">
        <v>3</v>
      </c>
      <c r="S19" s="4">
        <v>20600</v>
      </c>
      <c r="T19" s="4" t="s">
        <v>294</v>
      </c>
      <c r="U19" s="3" t="s">
        <v>137</v>
      </c>
      <c r="V19" s="2" t="s">
        <v>138</v>
      </c>
    </row>
    <row r="20" spans="1:22" x14ac:dyDescent="0.35">
      <c r="A20" s="1" t="s">
        <v>168</v>
      </c>
      <c r="B20" s="10">
        <v>45406</v>
      </c>
      <c r="C20" s="2" t="s">
        <v>1774</v>
      </c>
      <c r="D20" s="2" t="s">
        <v>169</v>
      </c>
      <c r="E20" s="2" t="s">
        <v>170</v>
      </c>
      <c r="F20" s="2" t="s">
        <v>171</v>
      </c>
      <c r="G20" s="2" t="s">
        <v>109</v>
      </c>
      <c r="H20" s="1" t="s">
        <v>48</v>
      </c>
      <c r="I20" s="1" t="s">
        <v>24</v>
      </c>
      <c r="J20" s="1" t="s">
        <v>172</v>
      </c>
      <c r="K20" s="2" t="s">
        <v>173</v>
      </c>
      <c r="L20" s="2" t="s">
        <v>84</v>
      </c>
      <c r="M20" s="2" t="s">
        <v>174</v>
      </c>
      <c r="N20" s="2" t="s">
        <v>175</v>
      </c>
      <c r="O20" s="12">
        <v>8</v>
      </c>
      <c r="P20" s="12">
        <v>299</v>
      </c>
      <c r="Q20" s="13">
        <v>15</v>
      </c>
      <c r="R20" s="1">
        <v>18</v>
      </c>
      <c r="S20" s="4">
        <v>2399.1759999999999</v>
      </c>
      <c r="T20" s="4" t="s">
        <v>94</v>
      </c>
      <c r="U20" s="3" t="s">
        <v>137</v>
      </c>
      <c r="V20" s="2" t="s">
        <v>138</v>
      </c>
    </row>
    <row r="21" spans="1:22" x14ac:dyDescent="0.35">
      <c r="A21" s="5" t="s">
        <v>176</v>
      </c>
      <c r="B21" s="10">
        <v>45307</v>
      </c>
      <c r="C21" s="6" t="s">
        <v>177</v>
      </c>
      <c r="D21" s="6" t="s">
        <v>178</v>
      </c>
      <c r="E21" s="6" t="s">
        <v>179</v>
      </c>
      <c r="F21" s="6" t="s">
        <v>180</v>
      </c>
      <c r="G21" s="6" t="s">
        <v>70</v>
      </c>
      <c r="H21" s="5" t="s">
        <v>70</v>
      </c>
      <c r="I21" s="5" t="s">
        <v>71</v>
      </c>
      <c r="J21" s="5" t="s">
        <v>25</v>
      </c>
      <c r="K21" s="6" t="s">
        <v>26</v>
      </c>
      <c r="L21" s="6" t="s">
        <v>27</v>
      </c>
      <c r="M21" s="6" t="s">
        <v>28</v>
      </c>
      <c r="N21" s="6" t="s">
        <v>29</v>
      </c>
      <c r="O21" s="12">
        <v>6</v>
      </c>
      <c r="P21" s="12">
        <v>450</v>
      </c>
      <c r="Q21" s="14">
        <v>8</v>
      </c>
      <c r="R21" s="5">
        <v>5</v>
      </c>
      <c r="S21" s="4">
        <v>2608.2000000000003</v>
      </c>
      <c r="T21" s="4" t="s">
        <v>94</v>
      </c>
      <c r="U21" s="3" t="s">
        <v>137</v>
      </c>
      <c r="V21" s="2" t="s">
        <v>138</v>
      </c>
    </row>
    <row r="22" spans="1:22" x14ac:dyDescent="0.35">
      <c r="A22" s="1" t="s">
        <v>181</v>
      </c>
      <c r="B22" s="10">
        <v>45411</v>
      </c>
      <c r="C22" s="2" t="s">
        <v>1775</v>
      </c>
      <c r="D22" s="2" t="s">
        <v>182</v>
      </c>
      <c r="E22" s="2" t="s">
        <v>183</v>
      </c>
      <c r="F22" s="3" t="s">
        <v>1789</v>
      </c>
      <c r="G22" s="3" t="s">
        <v>109</v>
      </c>
      <c r="H22" s="1" t="s">
        <v>48</v>
      </c>
      <c r="I22" s="1" t="s">
        <v>24</v>
      </c>
      <c r="J22" s="1" t="s">
        <v>184</v>
      </c>
      <c r="K22" s="2" t="s">
        <v>185</v>
      </c>
      <c r="L22" s="2" t="s">
        <v>51</v>
      </c>
      <c r="M22" s="2" t="s">
        <v>186</v>
      </c>
      <c r="N22" s="2" t="s">
        <v>74</v>
      </c>
      <c r="O22" s="12">
        <v>7</v>
      </c>
      <c r="P22" s="12">
        <v>35000</v>
      </c>
      <c r="Q22" s="13">
        <v>25</v>
      </c>
      <c r="R22" s="1">
        <v>18</v>
      </c>
      <c r="S22" s="4">
        <v>216825</v>
      </c>
      <c r="T22" s="4" t="s">
        <v>54</v>
      </c>
      <c r="U22" s="3" t="s">
        <v>137</v>
      </c>
      <c r="V22" s="2" t="s">
        <v>95</v>
      </c>
    </row>
    <row r="23" spans="1:22" x14ac:dyDescent="0.35">
      <c r="A23" s="5" t="s">
        <v>187</v>
      </c>
      <c r="B23" s="10">
        <v>45430</v>
      </c>
      <c r="C23" s="6" t="s">
        <v>56</v>
      </c>
      <c r="D23" s="6" t="s">
        <v>188</v>
      </c>
      <c r="E23" s="6" t="s">
        <v>189</v>
      </c>
      <c r="F23" s="6" t="s">
        <v>190</v>
      </c>
      <c r="G23" s="6" t="s">
        <v>109</v>
      </c>
      <c r="H23" s="5" t="s">
        <v>48</v>
      </c>
      <c r="I23" s="5" t="s">
        <v>24</v>
      </c>
      <c r="J23" s="5" t="s">
        <v>184</v>
      </c>
      <c r="K23" s="6" t="s">
        <v>185</v>
      </c>
      <c r="L23" s="6" t="s">
        <v>51</v>
      </c>
      <c r="M23" s="6" t="s">
        <v>186</v>
      </c>
      <c r="N23" s="6" t="s">
        <v>74</v>
      </c>
      <c r="O23" s="12">
        <v>5</v>
      </c>
      <c r="P23" s="12">
        <v>35000</v>
      </c>
      <c r="Q23" s="14">
        <v>20</v>
      </c>
      <c r="R23" s="5">
        <v>18</v>
      </c>
      <c r="S23" s="4">
        <v>165200</v>
      </c>
      <c r="T23" s="4" t="s">
        <v>94</v>
      </c>
      <c r="U23" s="3" t="s">
        <v>137</v>
      </c>
      <c r="V23" s="2" t="s">
        <v>95</v>
      </c>
    </row>
    <row r="24" spans="1:22" x14ac:dyDescent="0.35">
      <c r="A24" s="1" t="s">
        <v>191</v>
      </c>
      <c r="B24" s="10">
        <v>45440</v>
      </c>
      <c r="C24" s="2" t="s">
        <v>1771</v>
      </c>
      <c r="D24" s="2" t="s">
        <v>192</v>
      </c>
      <c r="E24" s="2" t="s">
        <v>193</v>
      </c>
      <c r="F24" s="2" t="s">
        <v>194</v>
      </c>
      <c r="G24" s="2" t="s">
        <v>237</v>
      </c>
      <c r="H24" s="1" t="s">
        <v>23</v>
      </c>
      <c r="I24" s="1" t="s">
        <v>24</v>
      </c>
      <c r="J24" s="1" t="s">
        <v>158</v>
      </c>
      <c r="K24" s="2" t="s">
        <v>159</v>
      </c>
      <c r="L24" s="2" t="s">
        <v>62</v>
      </c>
      <c r="M24" s="2" t="s">
        <v>160</v>
      </c>
      <c r="N24" s="2" t="s">
        <v>161</v>
      </c>
      <c r="O24" s="12">
        <v>2</v>
      </c>
      <c r="P24" s="12">
        <v>2500</v>
      </c>
      <c r="Q24" s="13">
        <v>8</v>
      </c>
      <c r="R24" s="1">
        <v>5</v>
      </c>
      <c r="S24" s="4">
        <v>4830</v>
      </c>
      <c r="T24" s="4" t="s">
        <v>65</v>
      </c>
      <c r="U24" s="2" t="s">
        <v>195</v>
      </c>
      <c r="V24" s="2" t="s">
        <v>138</v>
      </c>
    </row>
    <row r="25" spans="1:22" x14ac:dyDescent="0.35">
      <c r="A25" s="5" t="s">
        <v>196</v>
      </c>
      <c r="B25" s="10">
        <v>45384</v>
      </c>
      <c r="C25" s="6" t="s">
        <v>197</v>
      </c>
      <c r="D25" s="6" t="s">
        <v>198</v>
      </c>
      <c r="E25" s="6" t="s">
        <v>199</v>
      </c>
      <c r="F25" s="6" t="s">
        <v>200</v>
      </c>
      <c r="G25" s="6" t="s">
        <v>70</v>
      </c>
      <c r="H25" s="5" t="s">
        <v>70</v>
      </c>
      <c r="I25" s="5" t="s">
        <v>71</v>
      </c>
      <c r="J25" s="5" t="s">
        <v>201</v>
      </c>
      <c r="K25" s="6" t="s">
        <v>202</v>
      </c>
      <c r="L25" s="6" t="s">
        <v>27</v>
      </c>
      <c r="M25" s="6" t="s">
        <v>203</v>
      </c>
      <c r="N25" s="6" t="s">
        <v>204</v>
      </c>
      <c r="O25" s="12">
        <v>2</v>
      </c>
      <c r="P25" s="12">
        <v>280</v>
      </c>
      <c r="Q25" s="14">
        <v>15</v>
      </c>
      <c r="R25" s="5">
        <v>5</v>
      </c>
      <c r="S25" s="4">
        <v>499.8</v>
      </c>
      <c r="T25" s="4" t="s">
        <v>65</v>
      </c>
      <c r="U25" s="6" t="s">
        <v>87</v>
      </c>
      <c r="V25" s="2" t="s">
        <v>138</v>
      </c>
    </row>
    <row r="26" spans="1:22" x14ac:dyDescent="0.35">
      <c r="A26" s="1" t="s">
        <v>205</v>
      </c>
      <c r="B26" s="10">
        <v>45375</v>
      </c>
      <c r="C26" s="2" t="s">
        <v>177</v>
      </c>
      <c r="D26" s="2" t="s">
        <v>206</v>
      </c>
      <c r="E26" s="2" t="s">
        <v>207</v>
      </c>
      <c r="F26" s="2" t="s">
        <v>208</v>
      </c>
      <c r="G26" s="2" t="s">
        <v>349</v>
      </c>
      <c r="H26" s="1" t="s">
        <v>209</v>
      </c>
      <c r="I26" s="1" t="s">
        <v>210</v>
      </c>
      <c r="J26" s="1" t="s">
        <v>82</v>
      </c>
      <c r="K26" s="2" t="s">
        <v>83</v>
      </c>
      <c r="L26" s="2" t="s">
        <v>84</v>
      </c>
      <c r="M26" s="2" t="s">
        <v>85</v>
      </c>
      <c r="N26" s="2" t="s">
        <v>86</v>
      </c>
      <c r="O26" s="12">
        <v>6</v>
      </c>
      <c r="P26" s="12">
        <v>12000</v>
      </c>
      <c r="Q26" s="13">
        <v>10</v>
      </c>
      <c r="R26" s="1">
        <v>18</v>
      </c>
      <c r="S26" s="4">
        <v>76464</v>
      </c>
      <c r="T26" s="4" t="s">
        <v>1793</v>
      </c>
      <c r="U26" s="2" t="s">
        <v>137</v>
      </c>
      <c r="V26" s="2" t="s">
        <v>95</v>
      </c>
    </row>
    <row r="27" spans="1:22" x14ac:dyDescent="0.35">
      <c r="A27" s="5" t="s">
        <v>211</v>
      </c>
      <c r="B27" s="10">
        <v>45413</v>
      </c>
      <c r="C27" s="6" t="s">
        <v>1766</v>
      </c>
      <c r="D27" s="6" t="s">
        <v>212</v>
      </c>
      <c r="E27" s="6" t="s">
        <v>213</v>
      </c>
      <c r="F27" s="6" t="s">
        <v>214</v>
      </c>
      <c r="G27" s="6" t="s">
        <v>36</v>
      </c>
      <c r="H27" s="5" t="s">
        <v>37</v>
      </c>
      <c r="I27" s="5" t="s">
        <v>38</v>
      </c>
      <c r="J27" s="5" t="s">
        <v>215</v>
      </c>
      <c r="K27" s="6" t="s">
        <v>216</v>
      </c>
      <c r="L27" s="6" t="s">
        <v>27</v>
      </c>
      <c r="M27" s="6" t="s">
        <v>127</v>
      </c>
      <c r="N27" s="6" t="s">
        <v>217</v>
      </c>
      <c r="O27" s="12">
        <v>4</v>
      </c>
      <c r="P27" s="12">
        <v>40</v>
      </c>
      <c r="Q27" s="14">
        <v>5</v>
      </c>
      <c r="R27" s="5">
        <v>5</v>
      </c>
      <c r="S27" s="4">
        <v>159.6</v>
      </c>
      <c r="T27" s="4" t="s">
        <v>54</v>
      </c>
      <c r="U27" s="3" t="s">
        <v>116</v>
      </c>
      <c r="V27" s="2" t="s">
        <v>95</v>
      </c>
    </row>
    <row r="28" spans="1:22" x14ac:dyDescent="0.35">
      <c r="A28" s="1" t="s">
        <v>218</v>
      </c>
      <c r="B28" s="10">
        <v>45295</v>
      </c>
      <c r="C28" s="2" t="s">
        <v>1776</v>
      </c>
      <c r="D28" s="2" t="s">
        <v>219</v>
      </c>
      <c r="E28" s="2" t="s">
        <v>220</v>
      </c>
      <c r="F28" s="2" t="s">
        <v>221</v>
      </c>
      <c r="G28" s="2" t="s">
        <v>36</v>
      </c>
      <c r="H28" s="1" t="s">
        <v>37</v>
      </c>
      <c r="I28" s="1" t="s">
        <v>38</v>
      </c>
      <c r="J28" s="1" t="s">
        <v>100</v>
      </c>
      <c r="K28" s="2" t="s">
        <v>101</v>
      </c>
      <c r="L28" s="2" t="s">
        <v>51</v>
      </c>
      <c r="M28" s="2" t="s">
        <v>102</v>
      </c>
      <c r="N28" s="2" t="s">
        <v>103</v>
      </c>
      <c r="O28" s="12">
        <v>3</v>
      </c>
      <c r="P28" s="12">
        <v>2800</v>
      </c>
      <c r="Q28" s="13">
        <v>12</v>
      </c>
      <c r="R28" s="1">
        <v>18</v>
      </c>
      <c r="S28" s="4">
        <v>8722.56</v>
      </c>
      <c r="T28" s="4" t="s">
        <v>1793</v>
      </c>
      <c r="U28" s="2" t="s">
        <v>116</v>
      </c>
      <c r="V28" s="2" t="s">
        <v>138</v>
      </c>
    </row>
    <row r="29" spans="1:22" x14ac:dyDescent="0.35">
      <c r="A29" s="5" t="s">
        <v>222</v>
      </c>
      <c r="B29" s="10">
        <v>45355</v>
      </c>
      <c r="C29" s="6" t="s">
        <v>1768</v>
      </c>
      <c r="D29" s="6" t="s">
        <v>223</v>
      </c>
      <c r="E29" s="6" t="s">
        <v>224</v>
      </c>
      <c r="F29" s="6" t="s">
        <v>225</v>
      </c>
      <c r="G29" s="6" t="s">
        <v>109</v>
      </c>
      <c r="H29" s="5" t="s">
        <v>48</v>
      </c>
      <c r="I29" s="5" t="s">
        <v>24</v>
      </c>
      <c r="J29" s="5" t="s">
        <v>60</v>
      </c>
      <c r="K29" s="6" t="s">
        <v>61</v>
      </c>
      <c r="L29" s="6" t="s">
        <v>62</v>
      </c>
      <c r="M29" s="6" t="s">
        <v>63</v>
      </c>
      <c r="N29" s="6" t="s">
        <v>64</v>
      </c>
      <c r="O29" s="12">
        <v>5</v>
      </c>
      <c r="P29" s="12">
        <v>3500</v>
      </c>
      <c r="Q29" s="14">
        <v>5</v>
      </c>
      <c r="R29" s="5">
        <v>18</v>
      </c>
      <c r="S29" s="4">
        <v>19617.5</v>
      </c>
      <c r="T29" s="4" t="s">
        <v>294</v>
      </c>
      <c r="U29" s="6" t="s">
        <v>195</v>
      </c>
      <c r="V29" s="2" t="s">
        <v>138</v>
      </c>
    </row>
    <row r="30" spans="1:22" x14ac:dyDescent="0.35">
      <c r="A30" s="1" t="s">
        <v>226</v>
      </c>
      <c r="B30" s="10">
        <v>45292</v>
      </c>
      <c r="C30" s="2" t="s">
        <v>1777</v>
      </c>
      <c r="D30" s="2" t="s">
        <v>227</v>
      </c>
      <c r="E30" s="2" t="s">
        <v>228</v>
      </c>
      <c r="F30" s="2" t="s">
        <v>229</v>
      </c>
      <c r="G30" s="2" t="s">
        <v>230</v>
      </c>
      <c r="H30" s="1" t="s">
        <v>231</v>
      </c>
      <c r="I30" s="1" t="s">
        <v>24</v>
      </c>
      <c r="J30" s="1" t="s">
        <v>49</v>
      </c>
      <c r="K30" s="2" t="s">
        <v>50</v>
      </c>
      <c r="L30" s="2" t="s">
        <v>51</v>
      </c>
      <c r="M30" s="2" t="s">
        <v>52</v>
      </c>
      <c r="N30" s="2" t="s">
        <v>53</v>
      </c>
      <c r="O30" s="12">
        <v>1</v>
      </c>
      <c r="P30" s="12">
        <v>28000</v>
      </c>
      <c r="Q30" s="13">
        <v>10</v>
      </c>
      <c r="R30" s="1">
        <v>18</v>
      </c>
      <c r="S30" s="4">
        <v>29736</v>
      </c>
      <c r="T30" s="4" t="s">
        <v>94</v>
      </c>
      <c r="U30" s="2" t="s">
        <v>87</v>
      </c>
      <c r="V30" s="2" t="s">
        <v>95</v>
      </c>
    </row>
    <row r="31" spans="1:22" x14ac:dyDescent="0.35">
      <c r="A31" s="5" t="s">
        <v>232</v>
      </c>
      <c r="B31" s="10">
        <v>45323</v>
      </c>
      <c r="C31" s="6" t="s">
        <v>233</v>
      </c>
      <c r="D31" s="6" t="s">
        <v>234</v>
      </c>
      <c r="E31" s="6" t="s">
        <v>235</v>
      </c>
      <c r="F31" s="6" t="s">
        <v>236</v>
      </c>
      <c r="G31" s="6" t="s">
        <v>237</v>
      </c>
      <c r="H31" s="5" t="s">
        <v>23</v>
      </c>
      <c r="I31" s="5" t="s">
        <v>24</v>
      </c>
      <c r="J31" s="5" t="s">
        <v>25</v>
      </c>
      <c r="K31" s="6" t="s">
        <v>26</v>
      </c>
      <c r="L31" s="6" t="s">
        <v>27</v>
      </c>
      <c r="M31" s="6" t="s">
        <v>28</v>
      </c>
      <c r="N31" s="6" t="s">
        <v>29</v>
      </c>
      <c r="O31" s="12">
        <v>4</v>
      </c>
      <c r="P31" s="12">
        <v>450</v>
      </c>
      <c r="Q31" s="14">
        <v>8</v>
      </c>
      <c r="R31" s="5">
        <v>5</v>
      </c>
      <c r="S31" s="4">
        <v>1738.8000000000002</v>
      </c>
      <c r="T31" s="4" t="s">
        <v>294</v>
      </c>
      <c r="U31" s="6" t="s">
        <v>195</v>
      </c>
      <c r="V31" s="2" t="s">
        <v>95</v>
      </c>
    </row>
    <row r="32" spans="1:22" x14ac:dyDescent="0.35">
      <c r="A32" s="1" t="s">
        <v>238</v>
      </c>
      <c r="B32" s="10">
        <v>45441</v>
      </c>
      <c r="C32" s="2" t="s">
        <v>1763</v>
      </c>
      <c r="D32" s="2" t="s">
        <v>239</v>
      </c>
      <c r="E32" s="2" t="s">
        <v>240</v>
      </c>
      <c r="F32" s="2" t="s">
        <v>241</v>
      </c>
      <c r="G32" s="2" t="s">
        <v>70</v>
      </c>
      <c r="H32" s="1" t="s">
        <v>70</v>
      </c>
      <c r="I32" s="1" t="s">
        <v>71</v>
      </c>
      <c r="J32" s="1" t="s">
        <v>242</v>
      </c>
      <c r="K32" s="2" t="s">
        <v>243</v>
      </c>
      <c r="L32" s="2" t="s">
        <v>84</v>
      </c>
      <c r="M32" s="2" t="s">
        <v>244</v>
      </c>
      <c r="N32" s="2" t="s">
        <v>245</v>
      </c>
      <c r="O32" s="12">
        <v>10</v>
      </c>
      <c r="P32" s="12">
        <v>3200</v>
      </c>
      <c r="Q32" s="13">
        <v>0</v>
      </c>
      <c r="R32" s="1">
        <v>18</v>
      </c>
      <c r="S32" s="4">
        <v>37760</v>
      </c>
      <c r="T32" s="4" t="s">
        <v>65</v>
      </c>
      <c r="U32" s="2" t="s">
        <v>195</v>
      </c>
      <c r="V32" s="2" t="s">
        <v>95</v>
      </c>
    </row>
    <row r="33" spans="1:22" x14ac:dyDescent="0.35">
      <c r="A33" s="5" t="s">
        <v>246</v>
      </c>
      <c r="B33" s="10">
        <v>45340</v>
      </c>
      <c r="C33" s="6" t="s">
        <v>32</v>
      </c>
      <c r="D33" s="6" t="s">
        <v>247</v>
      </c>
      <c r="E33" s="6" t="s">
        <v>248</v>
      </c>
      <c r="F33" s="6" t="s">
        <v>249</v>
      </c>
      <c r="G33" s="6" t="s">
        <v>166</v>
      </c>
      <c r="H33" s="5" t="s">
        <v>167</v>
      </c>
      <c r="I33" s="5" t="s">
        <v>71</v>
      </c>
      <c r="J33" s="5" t="s">
        <v>250</v>
      </c>
      <c r="K33" s="6" t="s">
        <v>251</v>
      </c>
      <c r="L33" s="6" t="s">
        <v>84</v>
      </c>
      <c r="M33" s="6" t="s">
        <v>85</v>
      </c>
      <c r="N33" s="6" t="s">
        <v>252</v>
      </c>
      <c r="O33" s="12">
        <v>9</v>
      </c>
      <c r="P33" s="12">
        <v>42000</v>
      </c>
      <c r="Q33" s="14">
        <v>20</v>
      </c>
      <c r="R33" s="5">
        <v>18</v>
      </c>
      <c r="S33" s="4">
        <v>356832</v>
      </c>
      <c r="T33" s="4" t="s">
        <v>65</v>
      </c>
      <c r="U33" s="3" t="s">
        <v>137</v>
      </c>
      <c r="V33" s="2" t="s">
        <v>95</v>
      </c>
    </row>
    <row r="34" spans="1:22" x14ac:dyDescent="0.35">
      <c r="A34" s="1" t="s">
        <v>253</v>
      </c>
      <c r="B34" s="10">
        <v>45419</v>
      </c>
      <c r="C34" s="2" t="s">
        <v>177</v>
      </c>
      <c r="D34" s="2" t="s">
        <v>254</v>
      </c>
      <c r="E34" s="2" t="s">
        <v>207</v>
      </c>
      <c r="F34" s="2" t="s">
        <v>255</v>
      </c>
      <c r="G34" s="2" t="s">
        <v>315</v>
      </c>
      <c r="H34" s="1" t="s">
        <v>256</v>
      </c>
      <c r="I34" s="1" t="s">
        <v>24</v>
      </c>
      <c r="J34" s="1" t="s">
        <v>257</v>
      </c>
      <c r="K34" s="2" t="s">
        <v>258</v>
      </c>
      <c r="L34" s="2" t="s">
        <v>62</v>
      </c>
      <c r="M34" s="2" t="s">
        <v>259</v>
      </c>
      <c r="N34" s="2" t="s">
        <v>260</v>
      </c>
      <c r="O34" s="12">
        <v>10</v>
      </c>
      <c r="P34" s="12">
        <v>3500</v>
      </c>
      <c r="Q34" s="13">
        <v>20</v>
      </c>
      <c r="R34" s="1">
        <v>5</v>
      </c>
      <c r="S34" s="4">
        <v>29400</v>
      </c>
      <c r="T34" s="4" t="s">
        <v>65</v>
      </c>
      <c r="U34" s="2" t="s">
        <v>87</v>
      </c>
      <c r="V34" s="2" t="s">
        <v>95</v>
      </c>
    </row>
    <row r="35" spans="1:22" x14ac:dyDescent="0.35">
      <c r="A35" s="5" t="s">
        <v>261</v>
      </c>
      <c r="B35" s="10">
        <v>45330</v>
      </c>
      <c r="C35" s="6" t="s">
        <v>262</v>
      </c>
      <c r="D35" s="6" t="s">
        <v>263</v>
      </c>
      <c r="E35" s="6" t="s">
        <v>264</v>
      </c>
      <c r="F35" s="6" t="s">
        <v>265</v>
      </c>
      <c r="G35" s="6" t="s">
        <v>237</v>
      </c>
      <c r="H35" s="5" t="s">
        <v>23</v>
      </c>
      <c r="I35" s="5" t="s">
        <v>24</v>
      </c>
      <c r="J35" s="5" t="s">
        <v>266</v>
      </c>
      <c r="K35" s="6" t="s">
        <v>267</v>
      </c>
      <c r="L35" s="6" t="s">
        <v>62</v>
      </c>
      <c r="M35" s="6" t="s">
        <v>63</v>
      </c>
      <c r="N35" s="6" t="s">
        <v>268</v>
      </c>
      <c r="O35" s="12">
        <v>2</v>
      </c>
      <c r="P35" s="12">
        <v>8500</v>
      </c>
      <c r="Q35" s="14">
        <v>12</v>
      </c>
      <c r="R35" s="5">
        <v>18</v>
      </c>
      <c r="S35" s="4">
        <v>17652.8</v>
      </c>
      <c r="T35" s="4" t="s">
        <v>294</v>
      </c>
      <c r="U35" s="3" t="s">
        <v>116</v>
      </c>
      <c r="V35" s="2" t="s">
        <v>95</v>
      </c>
    </row>
    <row r="36" spans="1:22" x14ac:dyDescent="0.35">
      <c r="A36" s="1" t="s">
        <v>269</v>
      </c>
      <c r="B36" s="10">
        <v>45404</v>
      </c>
      <c r="C36" s="2" t="s">
        <v>1769</v>
      </c>
      <c r="D36" s="2" t="s">
        <v>270</v>
      </c>
      <c r="E36" s="2" t="s">
        <v>271</v>
      </c>
      <c r="F36" s="3" t="s">
        <v>1789</v>
      </c>
      <c r="G36" s="3" t="s">
        <v>166</v>
      </c>
      <c r="H36" s="1" t="s">
        <v>167</v>
      </c>
      <c r="I36" s="1" t="s">
        <v>71</v>
      </c>
      <c r="J36" s="1" t="s">
        <v>172</v>
      </c>
      <c r="K36" s="2" t="s">
        <v>173</v>
      </c>
      <c r="L36" s="2" t="s">
        <v>84</v>
      </c>
      <c r="M36" s="2" t="s">
        <v>174</v>
      </c>
      <c r="N36" s="2" t="s">
        <v>175</v>
      </c>
      <c r="O36" s="12">
        <v>6</v>
      </c>
      <c r="P36" s="12">
        <v>299</v>
      </c>
      <c r="Q36" s="13">
        <v>8</v>
      </c>
      <c r="R36" s="1">
        <v>18</v>
      </c>
      <c r="S36" s="4">
        <v>1947.5663999999999</v>
      </c>
      <c r="T36" s="4" t="s">
        <v>294</v>
      </c>
      <c r="U36" s="3" t="s">
        <v>137</v>
      </c>
      <c r="V36" s="2" t="s">
        <v>138</v>
      </c>
    </row>
    <row r="37" spans="1:22" x14ac:dyDescent="0.35">
      <c r="A37" s="5" t="s">
        <v>272</v>
      </c>
      <c r="B37" s="10">
        <v>45450</v>
      </c>
      <c r="C37" s="6" t="s">
        <v>76</v>
      </c>
      <c r="D37" s="6" t="s">
        <v>273</v>
      </c>
      <c r="E37" s="6" t="s">
        <v>274</v>
      </c>
      <c r="F37" s="6" t="s">
        <v>275</v>
      </c>
      <c r="G37" s="6" t="s">
        <v>109</v>
      </c>
      <c r="H37" s="5" t="s">
        <v>48</v>
      </c>
      <c r="I37" s="5" t="s">
        <v>24</v>
      </c>
      <c r="J37" s="5" t="s">
        <v>276</v>
      </c>
      <c r="K37" s="6" t="s">
        <v>277</v>
      </c>
      <c r="L37" s="6" t="s">
        <v>51</v>
      </c>
      <c r="M37" s="6" t="s">
        <v>102</v>
      </c>
      <c r="N37" s="6" t="s">
        <v>278</v>
      </c>
      <c r="O37" s="12">
        <v>7</v>
      </c>
      <c r="P37" s="12">
        <v>1500</v>
      </c>
      <c r="Q37" s="14">
        <v>20</v>
      </c>
      <c r="R37" s="5">
        <v>18</v>
      </c>
      <c r="S37" s="4">
        <v>9912</v>
      </c>
      <c r="T37" s="4" t="s">
        <v>65</v>
      </c>
      <c r="U37" s="3" t="s">
        <v>87</v>
      </c>
      <c r="V37" s="2" t="s">
        <v>95</v>
      </c>
    </row>
    <row r="38" spans="1:22" x14ac:dyDescent="0.35">
      <c r="A38" s="1" t="s">
        <v>279</v>
      </c>
      <c r="B38" s="10">
        <v>45419</v>
      </c>
      <c r="C38" s="2" t="s">
        <v>1774</v>
      </c>
      <c r="D38" s="2" t="s">
        <v>280</v>
      </c>
      <c r="E38" s="2" t="s">
        <v>281</v>
      </c>
      <c r="F38" s="2" t="s">
        <v>282</v>
      </c>
      <c r="G38" s="2" t="s">
        <v>109</v>
      </c>
      <c r="H38" s="1" t="s">
        <v>48</v>
      </c>
      <c r="I38" s="1" t="s">
        <v>24</v>
      </c>
      <c r="J38" s="1" t="s">
        <v>172</v>
      </c>
      <c r="K38" s="2" t="s">
        <v>1790</v>
      </c>
      <c r="L38" s="2" t="s">
        <v>84</v>
      </c>
      <c r="M38" s="2" t="s">
        <v>174</v>
      </c>
      <c r="N38" s="2" t="s">
        <v>175</v>
      </c>
      <c r="O38" s="12">
        <v>6</v>
      </c>
      <c r="P38" s="12">
        <v>299</v>
      </c>
      <c r="Q38" s="13">
        <v>8</v>
      </c>
      <c r="R38" s="1">
        <v>18</v>
      </c>
      <c r="S38" s="4">
        <v>1947.5663999999999</v>
      </c>
      <c r="T38" s="4" t="s">
        <v>294</v>
      </c>
      <c r="U38" s="3" t="s">
        <v>30</v>
      </c>
      <c r="V38" s="2" t="s">
        <v>95</v>
      </c>
    </row>
    <row r="39" spans="1:22" x14ac:dyDescent="0.35">
      <c r="A39" s="5" t="s">
        <v>283</v>
      </c>
      <c r="B39" s="10">
        <v>45460</v>
      </c>
      <c r="C39" s="6" t="s">
        <v>1769</v>
      </c>
      <c r="D39" s="6" t="s">
        <v>284</v>
      </c>
      <c r="E39" s="6" t="s">
        <v>285</v>
      </c>
      <c r="F39" s="6" t="s">
        <v>286</v>
      </c>
      <c r="G39" s="6" t="s">
        <v>114</v>
      </c>
      <c r="H39" s="5" t="s">
        <v>115</v>
      </c>
      <c r="I39" s="5" t="s">
        <v>71</v>
      </c>
      <c r="J39" s="5" t="s">
        <v>250</v>
      </c>
      <c r="K39" s="6" t="s">
        <v>251</v>
      </c>
      <c r="L39" s="6" t="s">
        <v>84</v>
      </c>
      <c r="M39" s="6" t="s">
        <v>85</v>
      </c>
      <c r="N39" s="6" t="s">
        <v>252</v>
      </c>
      <c r="O39" s="12">
        <v>7</v>
      </c>
      <c r="P39" s="12">
        <v>42000</v>
      </c>
      <c r="Q39" s="14">
        <v>25</v>
      </c>
      <c r="R39" s="5">
        <v>18</v>
      </c>
      <c r="S39" s="4">
        <v>260190</v>
      </c>
      <c r="T39" s="4" t="s">
        <v>1794</v>
      </c>
      <c r="U39" s="6" t="s">
        <v>195</v>
      </c>
      <c r="V39" s="2" t="s">
        <v>95</v>
      </c>
    </row>
    <row r="40" spans="1:22" x14ac:dyDescent="0.35">
      <c r="A40" s="1" t="s">
        <v>287</v>
      </c>
      <c r="B40" s="10">
        <v>45440</v>
      </c>
      <c r="C40" s="2" t="s">
        <v>1766</v>
      </c>
      <c r="D40" s="2" t="s">
        <v>288</v>
      </c>
      <c r="E40" s="2" t="s">
        <v>289</v>
      </c>
      <c r="F40" s="2" t="s">
        <v>290</v>
      </c>
      <c r="G40" s="2" t="s">
        <v>150</v>
      </c>
      <c r="H40" s="1" t="s">
        <v>93</v>
      </c>
      <c r="I40" s="1" t="s">
        <v>38</v>
      </c>
      <c r="J40" s="1" t="s">
        <v>257</v>
      </c>
      <c r="K40" s="2" t="s">
        <v>258</v>
      </c>
      <c r="L40" s="2" t="s">
        <v>62</v>
      </c>
      <c r="M40" s="2" t="s">
        <v>259</v>
      </c>
      <c r="N40" s="2" t="s">
        <v>260</v>
      </c>
      <c r="O40" s="12">
        <v>4</v>
      </c>
      <c r="P40" s="12">
        <v>3500</v>
      </c>
      <c r="Q40" s="13">
        <v>8</v>
      </c>
      <c r="R40" s="1">
        <v>5</v>
      </c>
      <c r="S40" s="4">
        <v>13524</v>
      </c>
      <c r="T40" s="4" t="s">
        <v>1794</v>
      </c>
      <c r="U40" s="3" t="s">
        <v>137</v>
      </c>
      <c r="V40" s="2" t="s">
        <v>95</v>
      </c>
    </row>
    <row r="41" spans="1:22" x14ac:dyDescent="0.35">
      <c r="A41" s="5" t="s">
        <v>291</v>
      </c>
      <c r="B41" s="10">
        <v>45434</v>
      </c>
      <c r="C41" s="6" t="s">
        <v>1778</v>
      </c>
      <c r="D41" s="6" t="s">
        <v>292</v>
      </c>
      <c r="E41" s="6" t="s">
        <v>293</v>
      </c>
      <c r="F41" s="3" t="s">
        <v>1789</v>
      </c>
      <c r="G41" s="3" t="s">
        <v>92</v>
      </c>
      <c r="H41" s="5" t="s">
        <v>93</v>
      </c>
      <c r="I41" s="5" t="s">
        <v>38</v>
      </c>
      <c r="J41" s="5" t="s">
        <v>82</v>
      </c>
      <c r="K41" s="6" t="s">
        <v>83</v>
      </c>
      <c r="L41" s="6" t="s">
        <v>84</v>
      </c>
      <c r="M41" s="6" t="s">
        <v>85</v>
      </c>
      <c r="N41" s="6" t="s">
        <v>86</v>
      </c>
      <c r="O41" s="12">
        <v>3</v>
      </c>
      <c r="P41" s="12">
        <v>12000</v>
      </c>
      <c r="Q41" s="14">
        <v>15</v>
      </c>
      <c r="R41" s="5">
        <v>18</v>
      </c>
      <c r="S41" s="4">
        <v>36108</v>
      </c>
      <c r="T41" s="4" t="s">
        <v>294</v>
      </c>
      <c r="U41" s="3" t="s">
        <v>30</v>
      </c>
      <c r="V41" s="2" t="s">
        <v>138</v>
      </c>
    </row>
    <row r="42" spans="1:22" x14ac:dyDescent="0.35">
      <c r="A42" s="1" t="s">
        <v>295</v>
      </c>
      <c r="B42" s="10">
        <v>45321</v>
      </c>
      <c r="C42" s="2" t="s">
        <v>296</v>
      </c>
      <c r="D42" s="2" t="s">
        <v>297</v>
      </c>
      <c r="E42" s="2" t="s">
        <v>298</v>
      </c>
      <c r="F42" s="2" t="s">
        <v>299</v>
      </c>
      <c r="G42" s="2" t="s">
        <v>109</v>
      </c>
      <c r="H42" s="1" t="s">
        <v>48</v>
      </c>
      <c r="I42" s="1" t="s">
        <v>24</v>
      </c>
      <c r="J42" s="1" t="s">
        <v>300</v>
      </c>
      <c r="K42" s="2" t="s">
        <v>301</v>
      </c>
      <c r="L42" s="2" t="s">
        <v>62</v>
      </c>
      <c r="M42" s="2" t="s">
        <v>302</v>
      </c>
      <c r="N42" s="2" t="s">
        <v>303</v>
      </c>
      <c r="O42" s="12">
        <v>6</v>
      </c>
      <c r="P42" s="12">
        <v>0</v>
      </c>
      <c r="Q42" s="13">
        <v>15</v>
      </c>
      <c r="R42" s="1">
        <v>18</v>
      </c>
      <c r="S42" s="4">
        <v>0</v>
      </c>
      <c r="T42" s="4" t="s">
        <v>65</v>
      </c>
      <c r="U42" s="2" t="s">
        <v>195</v>
      </c>
      <c r="V42" s="2" t="s">
        <v>138</v>
      </c>
    </row>
    <row r="43" spans="1:22" x14ac:dyDescent="0.35">
      <c r="A43" s="5" t="s">
        <v>304</v>
      </c>
      <c r="B43" s="10">
        <v>45405</v>
      </c>
      <c r="C43" s="6" t="s">
        <v>262</v>
      </c>
      <c r="D43" s="6" t="s">
        <v>305</v>
      </c>
      <c r="E43" s="6" t="s">
        <v>306</v>
      </c>
      <c r="F43" s="6" t="s">
        <v>307</v>
      </c>
      <c r="G43" s="6" t="s">
        <v>315</v>
      </c>
      <c r="H43" s="5" t="s">
        <v>256</v>
      </c>
      <c r="I43" s="5" t="s">
        <v>24</v>
      </c>
      <c r="J43" s="5" t="s">
        <v>49</v>
      </c>
      <c r="K43" s="6" t="s">
        <v>50</v>
      </c>
      <c r="L43" s="6" t="s">
        <v>51</v>
      </c>
      <c r="M43" s="6" t="s">
        <v>52</v>
      </c>
      <c r="N43" s="6" t="s">
        <v>53</v>
      </c>
      <c r="O43" s="12">
        <v>10</v>
      </c>
      <c r="P43" s="12">
        <v>28000</v>
      </c>
      <c r="Q43" s="14">
        <v>25</v>
      </c>
      <c r="R43" s="5">
        <v>18</v>
      </c>
      <c r="S43" s="4">
        <v>247800</v>
      </c>
      <c r="T43" s="4" t="s">
        <v>1793</v>
      </c>
      <c r="U43" s="6" t="s">
        <v>30</v>
      </c>
      <c r="V43" s="2" t="s">
        <v>95</v>
      </c>
    </row>
    <row r="44" spans="1:22" x14ac:dyDescent="0.35">
      <c r="A44" s="1" t="s">
        <v>308</v>
      </c>
      <c r="B44" s="10">
        <v>45351</v>
      </c>
      <c r="C44" s="2" t="s">
        <v>1779</v>
      </c>
      <c r="D44" s="2" t="s">
        <v>309</v>
      </c>
      <c r="E44" s="2" t="s">
        <v>310</v>
      </c>
      <c r="F44" s="3" t="s">
        <v>1789</v>
      </c>
      <c r="G44" s="3" t="s">
        <v>150</v>
      </c>
      <c r="H44" s="1" t="s">
        <v>93</v>
      </c>
      <c r="I44" s="1" t="s">
        <v>38</v>
      </c>
      <c r="J44" s="1" t="s">
        <v>158</v>
      </c>
      <c r="K44" s="2" t="s">
        <v>159</v>
      </c>
      <c r="L44" s="2" t="s">
        <v>62</v>
      </c>
      <c r="M44" s="2" t="s">
        <v>160</v>
      </c>
      <c r="N44" s="2" t="s">
        <v>161</v>
      </c>
      <c r="O44" s="12">
        <v>4</v>
      </c>
      <c r="P44" s="12">
        <v>0</v>
      </c>
      <c r="Q44" s="13">
        <v>10</v>
      </c>
      <c r="R44" s="1">
        <v>5</v>
      </c>
      <c r="S44" s="4">
        <v>0</v>
      </c>
      <c r="T44" s="4" t="s">
        <v>94</v>
      </c>
      <c r="U44" s="2" t="s">
        <v>30</v>
      </c>
      <c r="V44" s="2" t="s">
        <v>95</v>
      </c>
    </row>
    <row r="45" spans="1:22" x14ac:dyDescent="0.35">
      <c r="A45" s="5" t="s">
        <v>311</v>
      </c>
      <c r="B45" s="10">
        <v>45407</v>
      </c>
      <c r="C45" s="6" t="s">
        <v>76</v>
      </c>
      <c r="D45" s="6" t="s">
        <v>312</v>
      </c>
      <c r="E45" s="6" t="s">
        <v>313</v>
      </c>
      <c r="F45" s="6" t="s">
        <v>314</v>
      </c>
      <c r="G45" s="6" t="s">
        <v>315</v>
      </c>
      <c r="H45" s="5" t="s">
        <v>256</v>
      </c>
      <c r="I45" s="5" t="s">
        <v>24</v>
      </c>
      <c r="J45" s="5" t="s">
        <v>250</v>
      </c>
      <c r="K45" s="6" t="s">
        <v>251</v>
      </c>
      <c r="L45" s="6" t="s">
        <v>84</v>
      </c>
      <c r="M45" s="6" t="s">
        <v>85</v>
      </c>
      <c r="N45" s="6" t="s">
        <v>252</v>
      </c>
      <c r="O45" s="12">
        <v>1</v>
      </c>
      <c r="P45" s="12">
        <v>42000</v>
      </c>
      <c r="Q45" s="14">
        <v>20</v>
      </c>
      <c r="R45" s="5">
        <v>18</v>
      </c>
      <c r="S45" s="4">
        <v>39648</v>
      </c>
      <c r="T45" s="4" t="s">
        <v>1793</v>
      </c>
      <c r="U45" s="3" t="s">
        <v>87</v>
      </c>
      <c r="V45" s="2" t="s">
        <v>138</v>
      </c>
    </row>
    <row r="46" spans="1:22" x14ac:dyDescent="0.35">
      <c r="A46" s="1" t="s">
        <v>316</v>
      </c>
      <c r="B46" s="10">
        <v>45444</v>
      </c>
      <c r="C46" s="2" t="s">
        <v>1777</v>
      </c>
      <c r="D46" s="2" t="s">
        <v>317</v>
      </c>
      <c r="E46" s="2" t="s">
        <v>228</v>
      </c>
      <c r="F46" s="2" t="s">
        <v>318</v>
      </c>
      <c r="G46" s="2" t="s">
        <v>114</v>
      </c>
      <c r="H46" s="1" t="s">
        <v>115</v>
      </c>
      <c r="I46" s="1" t="s">
        <v>71</v>
      </c>
      <c r="J46" s="1" t="s">
        <v>184</v>
      </c>
      <c r="K46" s="2" t="s">
        <v>185</v>
      </c>
      <c r="L46" s="2" t="s">
        <v>51</v>
      </c>
      <c r="M46" s="2" t="s">
        <v>186</v>
      </c>
      <c r="N46" s="2" t="s">
        <v>74</v>
      </c>
      <c r="O46" s="12">
        <v>8</v>
      </c>
      <c r="P46" s="12">
        <v>35000</v>
      </c>
      <c r="Q46" s="13">
        <v>8</v>
      </c>
      <c r="R46" s="1">
        <v>18</v>
      </c>
      <c r="S46" s="4">
        <v>303968</v>
      </c>
      <c r="T46" s="4" t="s">
        <v>94</v>
      </c>
      <c r="U46" s="3" t="s">
        <v>137</v>
      </c>
      <c r="V46" s="2" t="s">
        <v>138</v>
      </c>
    </row>
    <row r="47" spans="1:22" x14ac:dyDescent="0.35">
      <c r="A47" s="5" t="s">
        <v>319</v>
      </c>
      <c r="B47" s="10">
        <v>45434</v>
      </c>
      <c r="C47" s="6" t="s">
        <v>1780</v>
      </c>
      <c r="D47" s="6" t="s">
        <v>320</v>
      </c>
      <c r="E47" s="6" t="s">
        <v>321</v>
      </c>
      <c r="F47" s="6" t="s">
        <v>322</v>
      </c>
      <c r="G47" s="6" t="s">
        <v>92</v>
      </c>
      <c r="H47" s="5" t="s">
        <v>93</v>
      </c>
      <c r="I47" s="5" t="s">
        <v>38</v>
      </c>
      <c r="J47" s="5" t="s">
        <v>25</v>
      </c>
      <c r="K47" s="6" t="s">
        <v>26</v>
      </c>
      <c r="L47" s="6" t="s">
        <v>27</v>
      </c>
      <c r="M47" s="6" t="s">
        <v>28</v>
      </c>
      <c r="N47" s="6" t="s">
        <v>29</v>
      </c>
      <c r="O47" s="12">
        <v>6</v>
      </c>
      <c r="P47" s="12">
        <v>450</v>
      </c>
      <c r="Q47" s="14">
        <v>25</v>
      </c>
      <c r="R47" s="5">
        <v>5</v>
      </c>
      <c r="S47" s="4">
        <v>2126.25</v>
      </c>
      <c r="T47" s="4" t="s">
        <v>94</v>
      </c>
      <c r="U47" s="3" t="s">
        <v>137</v>
      </c>
      <c r="V47" s="2" t="s">
        <v>95</v>
      </c>
    </row>
    <row r="48" spans="1:22" x14ac:dyDescent="0.35">
      <c r="A48" s="1" t="s">
        <v>323</v>
      </c>
      <c r="B48" s="10">
        <v>45298</v>
      </c>
      <c r="C48" s="2" t="s">
        <v>1779</v>
      </c>
      <c r="D48" s="2" t="s">
        <v>324</v>
      </c>
      <c r="E48" s="2" t="s">
        <v>325</v>
      </c>
      <c r="F48" s="2" t="s">
        <v>326</v>
      </c>
      <c r="G48" s="2" t="s">
        <v>109</v>
      </c>
      <c r="H48" s="1" t="s">
        <v>48</v>
      </c>
      <c r="I48" s="1" t="s">
        <v>24</v>
      </c>
      <c r="J48" s="1" t="s">
        <v>100</v>
      </c>
      <c r="K48" s="2" t="s">
        <v>101</v>
      </c>
      <c r="L48" s="2" t="s">
        <v>51</v>
      </c>
      <c r="M48" s="2" t="s">
        <v>102</v>
      </c>
      <c r="N48" s="2" t="s">
        <v>103</v>
      </c>
      <c r="O48" s="12">
        <v>9</v>
      </c>
      <c r="P48" s="12">
        <v>2800</v>
      </c>
      <c r="Q48" s="13">
        <v>15</v>
      </c>
      <c r="R48" s="1">
        <v>18</v>
      </c>
      <c r="S48" s="4">
        <v>25275.599999999999</v>
      </c>
      <c r="T48" s="4" t="s">
        <v>294</v>
      </c>
      <c r="U48" s="3" t="s">
        <v>87</v>
      </c>
      <c r="V48" s="2" t="s">
        <v>138</v>
      </c>
    </row>
    <row r="49" spans="1:22" x14ac:dyDescent="0.35">
      <c r="A49" s="5" t="s">
        <v>327</v>
      </c>
      <c r="B49" s="10">
        <v>45305</v>
      </c>
      <c r="C49" s="6" t="s">
        <v>1779</v>
      </c>
      <c r="D49" s="6" t="s">
        <v>328</v>
      </c>
      <c r="E49" s="6" t="s">
        <v>310</v>
      </c>
      <c r="F49" s="3" t="s">
        <v>1789</v>
      </c>
      <c r="G49" s="3" t="s">
        <v>237</v>
      </c>
      <c r="H49" s="5" t="s">
        <v>23</v>
      </c>
      <c r="I49" s="5" t="s">
        <v>24</v>
      </c>
      <c r="J49" s="5" t="s">
        <v>276</v>
      </c>
      <c r="K49" s="6" t="s">
        <v>277</v>
      </c>
      <c r="L49" s="6" t="s">
        <v>51</v>
      </c>
      <c r="M49" s="6" t="s">
        <v>102</v>
      </c>
      <c r="N49" s="6" t="s">
        <v>278</v>
      </c>
      <c r="O49" s="12">
        <v>1</v>
      </c>
      <c r="P49" s="12">
        <v>1500</v>
      </c>
      <c r="Q49" s="14">
        <v>8</v>
      </c>
      <c r="R49" s="5">
        <v>18</v>
      </c>
      <c r="S49" s="4">
        <v>1628.3999999999999</v>
      </c>
      <c r="T49" s="4" t="s">
        <v>294</v>
      </c>
      <c r="U49" s="3" t="s">
        <v>116</v>
      </c>
      <c r="V49" s="2" t="s">
        <v>138</v>
      </c>
    </row>
    <row r="50" spans="1:22" x14ac:dyDescent="0.35">
      <c r="A50" s="1" t="s">
        <v>329</v>
      </c>
      <c r="B50" s="10">
        <v>45346</v>
      </c>
      <c r="C50" s="2" t="s">
        <v>330</v>
      </c>
      <c r="D50" s="2" t="s">
        <v>331</v>
      </c>
      <c r="E50" s="2" t="s">
        <v>332</v>
      </c>
      <c r="F50" s="2" t="s">
        <v>333</v>
      </c>
      <c r="G50" s="2" t="s">
        <v>36</v>
      </c>
      <c r="H50" s="1" t="s">
        <v>37</v>
      </c>
      <c r="I50" s="1" t="s">
        <v>38</v>
      </c>
      <c r="J50" s="1" t="s">
        <v>242</v>
      </c>
      <c r="K50" s="2" t="s">
        <v>243</v>
      </c>
      <c r="L50" s="2" t="s">
        <v>84</v>
      </c>
      <c r="M50" s="2" t="s">
        <v>244</v>
      </c>
      <c r="N50" s="2" t="s">
        <v>245</v>
      </c>
      <c r="O50" s="12">
        <v>2</v>
      </c>
      <c r="P50" s="12">
        <v>3200</v>
      </c>
      <c r="Q50" s="13">
        <v>12</v>
      </c>
      <c r="R50" s="1">
        <v>18</v>
      </c>
      <c r="S50" s="4">
        <v>6645.7599999999993</v>
      </c>
      <c r="T50" s="4" t="s">
        <v>1793</v>
      </c>
      <c r="U50" s="2" t="s">
        <v>30</v>
      </c>
      <c r="V50" s="2" t="s">
        <v>138</v>
      </c>
    </row>
    <row r="51" spans="1:22" x14ac:dyDescent="0.35">
      <c r="A51" s="5" t="s">
        <v>334</v>
      </c>
      <c r="B51" s="10">
        <v>45395</v>
      </c>
      <c r="C51" s="6" t="s">
        <v>1778</v>
      </c>
      <c r="D51" s="6" t="s">
        <v>335</v>
      </c>
      <c r="E51" s="6" t="s">
        <v>336</v>
      </c>
      <c r="F51" s="6" t="s">
        <v>337</v>
      </c>
      <c r="G51" s="6" t="s">
        <v>315</v>
      </c>
      <c r="H51" s="5" t="s">
        <v>256</v>
      </c>
      <c r="I51" s="5" t="s">
        <v>24</v>
      </c>
      <c r="J51" s="5" t="s">
        <v>172</v>
      </c>
      <c r="K51" s="6" t="s">
        <v>173</v>
      </c>
      <c r="L51" s="6" t="s">
        <v>84</v>
      </c>
      <c r="M51" s="6" t="s">
        <v>174</v>
      </c>
      <c r="N51" s="6" t="s">
        <v>175</v>
      </c>
      <c r="O51" s="12">
        <v>7</v>
      </c>
      <c r="P51" s="12">
        <v>0</v>
      </c>
      <c r="Q51" s="14">
        <v>15</v>
      </c>
      <c r="R51" s="5">
        <v>18</v>
      </c>
      <c r="S51" s="4">
        <v>0</v>
      </c>
      <c r="T51" s="4" t="s">
        <v>294</v>
      </c>
      <c r="U51" s="6" t="s">
        <v>195</v>
      </c>
      <c r="V51" s="2" t="s">
        <v>138</v>
      </c>
    </row>
    <row r="52" spans="1:22" x14ac:dyDescent="0.35">
      <c r="A52" s="1" t="s">
        <v>338</v>
      </c>
      <c r="B52" s="10">
        <v>45352</v>
      </c>
      <c r="C52" s="2" t="s">
        <v>1781</v>
      </c>
      <c r="D52" s="2" t="s">
        <v>339</v>
      </c>
      <c r="E52" s="2" t="s">
        <v>340</v>
      </c>
      <c r="F52" s="2" t="s">
        <v>341</v>
      </c>
      <c r="G52" s="2" t="s">
        <v>70</v>
      </c>
      <c r="H52" s="1" t="s">
        <v>70</v>
      </c>
      <c r="I52" s="1" t="s">
        <v>71</v>
      </c>
      <c r="J52" s="1" t="s">
        <v>342</v>
      </c>
      <c r="K52" s="2" t="s">
        <v>343</v>
      </c>
      <c r="L52" s="2" t="s">
        <v>84</v>
      </c>
      <c r="M52" s="2" t="s">
        <v>244</v>
      </c>
      <c r="N52" s="2" t="s">
        <v>344</v>
      </c>
      <c r="O52" s="12">
        <v>5</v>
      </c>
      <c r="P52" s="12">
        <v>2200</v>
      </c>
      <c r="Q52" s="13">
        <v>5</v>
      </c>
      <c r="R52" s="1">
        <v>12</v>
      </c>
      <c r="S52" s="4">
        <v>11704.000000000002</v>
      </c>
      <c r="T52" s="4" t="s">
        <v>1793</v>
      </c>
      <c r="U52" s="3" t="s">
        <v>30</v>
      </c>
      <c r="V52" s="2" t="s">
        <v>95</v>
      </c>
    </row>
    <row r="53" spans="1:22" x14ac:dyDescent="0.35">
      <c r="A53" s="5" t="s">
        <v>345</v>
      </c>
      <c r="B53" s="10">
        <v>45382</v>
      </c>
      <c r="C53" s="6" t="s">
        <v>346</v>
      </c>
      <c r="D53" s="6" t="s">
        <v>347</v>
      </c>
      <c r="E53" s="6" t="s">
        <v>348</v>
      </c>
      <c r="F53" s="3" t="s">
        <v>1789</v>
      </c>
      <c r="G53" s="3" t="s">
        <v>349</v>
      </c>
      <c r="H53" s="5" t="s">
        <v>209</v>
      </c>
      <c r="I53" s="5" t="s">
        <v>210</v>
      </c>
      <c r="J53" s="5" t="s">
        <v>201</v>
      </c>
      <c r="K53" s="6" t="s">
        <v>202</v>
      </c>
      <c r="L53" s="6" t="s">
        <v>27</v>
      </c>
      <c r="M53" s="6" t="s">
        <v>203</v>
      </c>
      <c r="N53" s="6" t="s">
        <v>204</v>
      </c>
      <c r="O53" s="12">
        <v>10</v>
      </c>
      <c r="P53" s="12">
        <v>280</v>
      </c>
      <c r="Q53" s="14">
        <v>15</v>
      </c>
      <c r="R53" s="5">
        <v>5</v>
      </c>
      <c r="S53" s="4">
        <v>2499</v>
      </c>
      <c r="T53" s="4" t="s">
        <v>1794</v>
      </c>
      <c r="U53" s="6" t="s">
        <v>195</v>
      </c>
      <c r="V53" s="2" t="s">
        <v>95</v>
      </c>
    </row>
    <row r="54" spans="1:22" x14ac:dyDescent="0.35">
      <c r="A54" s="1" t="s">
        <v>350</v>
      </c>
      <c r="B54" s="10">
        <v>45457</v>
      </c>
      <c r="C54" s="2" t="s">
        <v>1781</v>
      </c>
      <c r="D54" s="2" t="s">
        <v>351</v>
      </c>
      <c r="E54" s="2" t="s">
        <v>352</v>
      </c>
      <c r="F54" s="2" t="s">
        <v>353</v>
      </c>
      <c r="G54" s="2" t="s">
        <v>114</v>
      </c>
      <c r="H54" s="1" t="s">
        <v>115</v>
      </c>
      <c r="I54" s="1" t="s">
        <v>71</v>
      </c>
      <c r="J54" s="1" t="s">
        <v>354</v>
      </c>
      <c r="K54" s="2" t="s">
        <v>355</v>
      </c>
      <c r="L54" s="2" t="s">
        <v>62</v>
      </c>
      <c r="M54" s="2" t="s">
        <v>356</v>
      </c>
      <c r="N54" s="2" t="s">
        <v>357</v>
      </c>
      <c r="O54" s="12">
        <v>1</v>
      </c>
      <c r="P54" s="12">
        <v>4500</v>
      </c>
      <c r="Q54" s="13">
        <v>25</v>
      </c>
      <c r="R54" s="1">
        <v>5</v>
      </c>
      <c r="S54" s="4">
        <v>3543.75</v>
      </c>
      <c r="T54" s="4" t="s">
        <v>1793</v>
      </c>
      <c r="U54" s="2" t="s">
        <v>87</v>
      </c>
      <c r="V54" s="2" t="s">
        <v>138</v>
      </c>
    </row>
    <row r="55" spans="1:22" x14ac:dyDescent="0.35">
      <c r="A55" s="5" t="s">
        <v>358</v>
      </c>
      <c r="B55" s="10">
        <v>45325</v>
      </c>
      <c r="C55" s="6" t="s">
        <v>1773</v>
      </c>
      <c r="D55" s="6" t="s">
        <v>359</v>
      </c>
      <c r="E55" s="6" t="s">
        <v>360</v>
      </c>
      <c r="F55" s="6" t="s">
        <v>361</v>
      </c>
      <c r="G55" s="6" t="s">
        <v>349</v>
      </c>
      <c r="H55" s="5" t="s">
        <v>209</v>
      </c>
      <c r="I55" s="5" t="s">
        <v>210</v>
      </c>
      <c r="J55" s="5" t="s">
        <v>257</v>
      </c>
      <c r="K55" s="6" t="s">
        <v>258</v>
      </c>
      <c r="L55" s="6" t="s">
        <v>62</v>
      </c>
      <c r="M55" s="6" t="s">
        <v>259</v>
      </c>
      <c r="N55" s="6" t="s">
        <v>260</v>
      </c>
      <c r="O55" s="12">
        <v>6</v>
      </c>
      <c r="P55" s="12">
        <v>3500</v>
      </c>
      <c r="Q55" s="14">
        <v>8</v>
      </c>
      <c r="R55" s="5">
        <v>5</v>
      </c>
      <c r="S55" s="4">
        <v>20286</v>
      </c>
      <c r="T55" s="4" t="s">
        <v>1793</v>
      </c>
      <c r="U55" s="6" t="s">
        <v>195</v>
      </c>
      <c r="V55" s="2" t="s">
        <v>138</v>
      </c>
    </row>
    <row r="56" spans="1:22" x14ac:dyDescent="0.35">
      <c r="A56" s="1" t="s">
        <v>362</v>
      </c>
      <c r="B56" s="10">
        <v>45461</v>
      </c>
      <c r="C56" s="2" t="s">
        <v>1777</v>
      </c>
      <c r="D56" s="2" t="s">
        <v>363</v>
      </c>
      <c r="E56" s="2" t="s">
        <v>228</v>
      </c>
      <c r="F56" s="2" t="s">
        <v>364</v>
      </c>
      <c r="G56" s="2" t="s">
        <v>70</v>
      </c>
      <c r="H56" s="1" t="s">
        <v>70</v>
      </c>
      <c r="I56" s="1" t="s">
        <v>71</v>
      </c>
      <c r="J56" s="1" t="s">
        <v>242</v>
      </c>
      <c r="K56" s="2" t="s">
        <v>1790</v>
      </c>
      <c r="L56" s="2" t="s">
        <v>84</v>
      </c>
      <c r="M56" s="2" t="s">
        <v>244</v>
      </c>
      <c r="N56" s="2" t="s">
        <v>245</v>
      </c>
      <c r="O56" s="12">
        <v>6</v>
      </c>
      <c r="P56" s="12">
        <v>3200</v>
      </c>
      <c r="Q56" s="13">
        <v>5</v>
      </c>
      <c r="R56" s="1">
        <v>18</v>
      </c>
      <c r="S56" s="4">
        <v>21523.199999999997</v>
      </c>
      <c r="T56" s="4" t="s">
        <v>94</v>
      </c>
      <c r="U56" s="3" t="s">
        <v>87</v>
      </c>
      <c r="V56" s="2" t="s">
        <v>95</v>
      </c>
    </row>
    <row r="57" spans="1:22" x14ac:dyDescent="0.35">
      <c r="A57" s="5" t="s">
        <v>365</v>
      </c>
      <c r="B57" s="10">
        <v>45410</v>
      </c>
      <c r="C57" s="6" t="s">
        <v>1778</v>
      </c>
      <c r="D57" s="6" t="s">
        <v>366</v>
      </c>
      <c r="E57" s="6" t="s">
        <v>367</v>
      </c>
      <c r="F57" s="6" t="s">
        <v>368</v>
      </c>
      <c r="G57" s="6" t="s">
        <v>349</v>
      </c>
      <c r="H57" s="5" t="s">
        <v>209</v>
      </c>
      <c r="I57" s="5" t="s">
        <v>210</v>
      </c>
      <c r="J57" s="5" t="s">
        <v>250</v>
      </c>
      <c r="K57" s="6" t="s">
        <v>251</v>
      </c>
      <c r="L57" s="6" t="s">
        <v>84</v>
      </c>
      <c r="M57" s="6" t="s">
        <v>85</v>
      </c>
      <c r="N57" s="6" t="s">
        <v>252</v>
      </c>
      <c r="O57" s="12">
        <v>8</v>
      </c>
      <c r="P57" s="12">
        <v>42000</v>
      </c>
      <c r="Q57" s="14">
        <v>10</v>
      </c>
      <c r="R57" s="5">
        <v>18</v>
      </c>
      <c r="S57" s="4">
        <v>356832</v>
      </c>
      <c r="T57" s="4" t="s">
        <v>294</v>
      </c>
      <c r="U57" s="3" t="s">
        <v>137</v>
      </c>
      <c r="V57" s="2" t="s">
        <v>95</v>
      </c>
    </row>
    <row r="58" spans="1:22" x14ac:dyDescent="0.35">
      <c r="A58" s="1" t="s">
        <v>369</v>
      </c>
      <c r="B58" s="10">
        <v>45398</v>
      </c>
      <c r="C58" s="2" t="s">
        <v>197</v>
      </c>
      <c r="D58" s="2" t="s">
        <v>370</v>
      </c>
      <c r="E58" s="2" t="s">
        <v>371</v>
      </c>
      <c r="F58" s="2" t="s">
        <v>372</v>
      </c>
      <c r="G58" s="2" t="s">
        <v>349</v>
      </c>
      <c r="H58" s="1" t="s">
        <v>209</v>
      </c>
      <c r="I58" s="1" t="s">
        <v>210</v>
      </c>
      <c r="J58" s="1" t="s">
        <v>133</v>
      </c>
      <c r="K58" s="2" t="s">
        <v>134</v>
      </c>
      <c r="L58" s="2" t="s">
        <v>51</v>
      </c>
      <c r="M58" s="2" t="s">
        <v>135</v>
      </c>
      <c r="N58" s="2" t="s">
        <v>136</v>
      </c>
      <c r="O58" s="12">
        <v>9</v>
      </c>
      <c r="P58" s="12">
        <v>55000</v>
      </c>
      <c r="Q58" s="13">
        <v>8</v>
      </c>
      <c r="R58" s="1">
        <v>18</v>
      </c>
      <c r="S58" s="4">
        <v>537372</v>
      </c>
      <c r="T58" s="4" t="s">
        <v>65</v>
      </c>
      <c r="U58" s="3" t="s">
        <v>137</v>
      </c>
      <c r="V58" s="2" t="s">
        <v>95</v>
      </c>
    </row>
    <row r="59" spans="1:22" x14ac:dyDescent="0.35">
      <c r="A59" s="5" t="s">
        <v>373</v>
      </c>
      <c r="B59" s="10">
        <v>45432</v>
      </c>
      <c r="C59" s="6" t="s">
        <v>1765</v>
      </c>
      <c r="D59" s="6" t="s">
        <v>374</v>
      </c>
      <c r="E59" s="6" t="s">
        <v>375</v>
      </c>
      <c r="F59" s="6" t="s">
        <v>376</v>
      </c>
      <c r="G59" s="6" t="s">
        <v>237</v>
      </c>
      <c r="H59" s="5" t="s">
        <v>23</v>
      </c>
      <c r="I59" s="5" t="s">
        <v>24</v>
      </c>
      <c r="J59" s="5" t="s">
        <v>342</v>
      </c>
      <c r="K59" s="6" t="s">
        <v>343</v>
      </c>
      <c r="L59" s="6" t="s">
        <v>84</v>
      </c>
      <c r="M59" s="6" t="s">
        <v>244</v>
      </c>
      <c r="N59" s="6" t="s">
        <v>344</v>
      </c>
      <c r="O59" s="12">
        <v>5</v>
      </c>
      <c r="P59" s="12">
        <v>2200</v>
      </c>
      <c r="Q59" s="14">
        <v>25</v>
      </c>
      <c r="R59" s="5">
        <v>12</v>
      </c>
      <c r="S59" s="4">
        <v>9240</v>
      </c>
      <c r="T59" s="4" t="s">
        <v>1794</v>
      </c>
      <c r="U59" s="6" t="s">
        <v>30</v>
      </c>
      <c r="V59" s="2" t="s">
        <v>95</v>
      </c>
    </row>
    <row r="60" spans="1:22" x14ac:dyDescent="0.35">
      <c r="A60" s="1" t="s">
        <v>377</v>
      </c>
      <c r="B60" s="10">
        <v>45426</v>
      </c>
      <c r="C60" s="2" t="s">
        <v>1782</v>
      </c>
      <c r="D60" s="2" t="s">
        <v>378</v>
      </c>
      <c r="E60" s="2" t="s">
        <v>379</v>
      </c>
      <c r="F60" s="3" t="s">
        <v>1789</v>
      </c>
      <c r="G60" s="3" t="s">
        <v>349</v>
      </c>
      <c r="H60" s="1" t="s">
        <v>209</v>
      </c>
      <c r="I60" s="1" t="s">
        <v>210</v>
      </c>
      <c r="J60" s="1" t="s">
        <v>342</v>
      </c>
      <c r="K60" s="2" t="s">
        <v>343</v>
      </c>
      <c r="L60" s="2" t="s">
        <v>84</v>
      </c>
      <c r="M60" s="2" t="s">
        <v>244</v>
      </c>
      <c r="N60" s="2" t="s">
        <v>344</v>
      </c>
      <c r="O60" s="12">
        <v>10</v>
      </c>
      <c r="P60" s="12">
        <v>2200</v>
      </c>
      <c r="Q60" s="13">
        <v>10</v>
      </c>
      <c r="R60" s="1">
        <v>12</v>
      </c>
      <c r="S60" s="4">
        <v>22176.000000000004</v>
      </c>
      <c r="T60" s="4" t="s">
        <v>94</v>
      </c>
      <c r="U60" s="3" t="s">
        <v>137</v>
      </c>
      <c r="V60" s="2" t="s">
        <v>138</v>
      </c>
    </row>
    <row r="61" spans="1:22" x14ac:dyDescent="0.35">
      <c r="A61" s="5" t="s">
        <v>380</v>
      </c>
      <c r="B61" s="10">
        <v>45326</v>
      </c>
      <c r="C61" s="6" t="s">
        <v>1772</v>
      </c>
      <c r="D61" s="6" t="s">
        <v>381</v>
      </c>
      <c r="E61" s="6" t="s">
        <v>382</v>
      </c>
      <c r="F61" s="3" t="s">
        <v>1789</v>
      </c>
      <c r="G61" s="3" t="s">
        <v>80</v>
      </c>
      <c r="H61" s="5" t="s">
        <v>81</v>
      </c>
      <c r="I61" s="5" t="s">
        <v>24</v>
      </c>
      <c r="J61" s="5" t="s">
        <v>184</v>
      </c>
      <c r="K61" s="6" t="s">
        <v>185</v>
      </c>
      <c r="L61" s="6" t="s">
        <v>51</v>
      </c>
      <c r="M61" s="6" t="s">
        <v>186</v>
      </c>
      <c r="N61" s="6" t="s">
        <v>74</v>
      </c>
      <c r="O61" s="12">
        <v>2</v>
      </c>
      <c r="P61" s="12">
        <v>35000</v>
      </c>
      <c r="Q61" s="14">
        <v>15</v>
      </c>
      <c r="R61" s="5">
        <v>18</v>
      </c>
      <c r="S61" s="4">
        <v>70210</v>
      </c>
      <c r="T61" s="4" t="s">
        <v>65</v>
      </c>
      <c r="U61" s="3" t="s">
        <v>137</v>
      </c>
      <c r="V61" s="2" t="s">
        <v>95</v>
      </c>
    </row>
    <row r="62" spans="1:22" x14ac:dyDescent="0.35">
      <c r="A62" s="1" t="s">
        <v>383</v>
      </c>
      <c r="B62" s="10">
        <v>45404</v>
      </c>
      <c r="C62" s="2" t="s">
        <v>197</v>
      </c>
      <c r="D62" s="2" t="s">
        <v>384</v>
      </c>
      <c r="E62" s="2" t="s">
        <v>385</v>
      </c>
      <c r="F62" s="2" t="s">
        <v>386</v>
      </c>
      <c r="G62" s="2" t="s">
        <v>150</v>
      </c>
      <c r="H62" s="1" t="s">
        <v>93</v>
      </c>
      <c r="I62" s="1" t="s">
        <v>38</v>
      </c>
      <c r="J62" s="1" t="s">
        <v>143</v>
      </c>
      <c r="K62" s="2" t="s">
        <v>144</v>
      </c>
      <c r="L62" s="2" t="s">
        <v>51</v>
      </c>
      <c r="M62" s="2" t="s">
        <v>52</v>
      </c>
      <c r="N62" s="2" t="s">
        <v>145</v>
      </c>
      <c r="O62" s="12">
        <v>8</v>
      </c>
      <c r="P62" s="12">
        <v>89000</v>
      </c>
      <c r="Q62" s="13">
        <v>0</v>
      </c>
      <c r="R62" s="1">
        <v>18</v>
      </c>
      <c r="S62" s="4">
        <v>840160</v>
      </c>
      <c r="T62" s="4" t="s">
        <v>1793</v>
      </c>
      <c r="U62" s="3" t="s">
        <v>137</v>
      </c>
      <c r="V62" s="2" t="s">
        <v>138</v>
      </c>
    </row>
    <row r="63" spans="1:22" x14ac:dyDescent="0.35">
      <c r="A63" s="5" t="s">
        <v>387</v>
      </c>
      <c r="B63" s="10">
        <v>45362</v>
      </c>
      <c r="C63" s="6" t="s">
        <v>1777</v>
      </c>
      <c r="D63" s="6" t="s">
        <v>388</v>
      </c>
      <c r="E63" s="6" t="s">
        <v>389</v>
      </c>
      <c r="F63" s="6" t="s">
        <v>390</v>
      </c>
      <c r="G63" s="6" t="s">
        <v>36</v>
      </c>
      <c r="H63" s="5" t="s">
        <v>37</v>
      </c>
      <c r="I63" s="5" t="s">
        <v>38</v>
      </c>
      <c r="J63" s="5" t="s">
        <v>100</v>
      </c>
      <c r="K63" s="6" t="s">
        <v>101</v>
      </c>
      <c r="L63" s="6" t="s">
        <v>51</v>
      </c>
      <c r="M63" s="6" t="s">
        <v>102</v>
      </c>
      <c r="N63" s="6" t="s">
        <v>103</v>
      </c>
      <c r="O63" s="12">
        <v>5</v>
      </c>
      <c r="P63" s="12">
        <v>2800</v>
      </c>
      <c r="Q63" s="14">
        <v>20</v>
      </c>
      <c r="R63" s="5">
        <v>18</v>
      </c>
      <c r="S63" s="4">
        <v>13216</v>
      </c>
      <c r="T63" s="4" t="s">
        <v>1793</v>
      </c>
      <c r="U63" s="3" t="s">
        <v>116</v>
      </c>
      <c r="V63" s="2" t="s">
        <v>138</v>
      </c>
    </row>
    <row r="64" spans="1:22" x14ac:dyDescent="0.35">
      <c r="A64" s="1" t="s">
        <v>391</v>
      </c>
      <c r="B64" s="10">
        <v>45385</v>
      </c>
      <c r="C64" s="2" t="s">
        <v>1783</v>
      </c>
      <c r="D64" s="2" t="s">
        <v>392</v>
      </c>
      <c r="E64" s="2" t="s">
        <v>393</v>
      </c>
      <c r="F64" s="2" t="s">
        <v>394</v>
      </c>
      <c r="G64" s="2" t="s">
        <v>237</v>
      </c>
      <c r="H64" s="1" t="s">
        <v>23</v>
      </c>
      <c r="I64" s="1" t="s">
        <v>24</v>
      </c>
      <c r="J64" s="1" t="s">
        <v>72</v>
      </c>
      <c r="K64" s="2" t="s">
        <v>73</v>
      </c>
      <c r="L64" s="2" t="s">
        <v>51</v>
      </c>
      <c r="M64" s="2" t="s">
        <v>52</v>
      </c>
      <c r="N64" s="2" t="s">
        <v>74</v>
      </c>
      <c r="O64" s="12">
        <v>6</v>
      </c>
      <c r="P64" s="12">
        <v>0</v>
      </c>
      <c r="Q64" s="13">
        <v>25</v>
      </c>
      <c r="R64" s="1">
        <v>18</v>
      </c>
      <c r="S64" s="4">
        <v>0</v>
      </c>
      <c r="T64" s="4" t="s">
        <v>294</v>
      </c>
      <c r="U64" s="2" t="s">
        <v>116</v>
      </c>
      <c r="V64" s="2" t="s">
        <v>138</v>
      </c>
    </row>
    <row r="65" spans="1:22" x14ac:dyDescent="0.35">
      <c r="A65" s="5" t="s">
        <v>395</v>
      </c>
      <c r="B65" s="10">
        <v>45462</v>
      </c>
      <c r="C65" s="6" t="s">
        <v>1778</v>
      </c>
      <c r="D65" s="6" t="s">
        <v>396</v>
      </c>
      <c r="E65" s="6" t="s">
        <v>367</v>
      </c>
      <c r="F65" s="6" t="s">
        <v>397</v>
      </c>
      <c r="G65" s="6" t="s">
        <v>150</v>
      </c>
      <c r="H65" s="5" t="s">
        <v>93</v>
      </c>
      <c r="I65" s="5" t="s">
        <v>38</v>
      </c>
      <c r="J65" s="5" t="s">
        <v>82</v>
      </c>
      <c r="K65" s="6" t="s">
        <v>83</v>
      </c>
      <c r="L65" s="6" t="s">
        <v>84</v>
      </c>
      <c r="M65" s="6" t="s">
        <v>85</v>
      </c>
      <c r="N65" s="6" t="s">
        <v>86</v>
      </c>
      <c r="O65" s="12">
        <v>10</v>
      </c>
      <c r="P65" s="12">
        <v>12000</v>
      </c>
      <c r="Q65" s="14">
        <v>5</v>
      </c>
      <c r="R65" s="5">
        <v>18</v>
      </c>
      <c r="S65" s="4">
        <v>134520</v>
      </c>
      <c r="T65" s="4" t="s">
        <v>94</v>
      </c>
      <c r="U65" s="3" t="s">
        <v>30</v>
      </c>
      <c r="V65" s="2" t="s">
        <v>95</v>
      </c>
    </row>
    <row r="66" spans="1:22" x14ac:dyDescent="0.35">
      <c r="A66" s="1" t="s">
        <v>398</v>
      </c>
      <c r="B66" s="10">
        <v>45396</v>
      </c>
      <c r="C66" s="2" t="s">
        <v>1783</v>
      </c>
      <c r="D66" s="2" t="s">
        <v>399</v>
      </c>
      <c r="E66" s="2" t="s">
        <v>393</v>
      </c>
      <c r="F66" s="2" t="s">
        <v>400</v>
      </c>
      <c r="G66" s="2" t="s">
        <v>349</v>
      </c>
      <c r="H66" s="1" t="s">
        <v>209</v>
      </c>
      <c r="I66" s="1" t="s">
        <v>210</v>
      </c>
      <c r="J66" s="1" t="s">
        <v>215</v>
      </c>
      <c r="K66" s="2" t="s">
        <v>216</v>
      </c>
      <c r="L66" s="2" t="s">
        <v>27</v>
      </c>
      <c r="M66" s="2" t="s">
        <v>127</v>
      </c>
      <c r="N66" s="2" t="s">
        <v>217</v>
      </c>
      <c r="O66" s="12">
        <v>1</v>
      </c>
      <c r="P66" s="12">
        <v>40</v>
      </c>
      <c r="Q66" s="13">
        <v>8</v>
      </c>
      <c r="R66" s="1">
        <v>5</v>
      </c>
      <c r="S66" s="4">
        <v>38.640000000000008</v>
      </c>
      <c r="T66" s="4" t="s">
        <v>65</v>
      </c>
      <c r="U66" s="3" t="s">
        <v>87</v>
      </c>
      <c r="V66" s="2" t="s">
        <v>138</v>
      </c>
    </row>
    <row r="67" spans="1:22" x14ac:dyDescent="0.35">
      <c r="A67" s="5" t="s">
        <v>401</v>
      </c>
      <c r="B67" s="10">
        <v>45356</v>
      </c>
      <c r="C67" s="6" t="s">
        <v>1777</v>
      </c>
      <c r="D67" s="6" t="s">
        <v>402</v>
      </c>
      <c r="E67" s="6" t="s">
        <v>228</v>
      </c>
      <c r="F67" s="6" t="s">
        <v>403</v>
      </c>
      <c r="G67" s="6" t="s">
        <v>80</v>
      </c>
      <c r="H67" s="5" t="s">
        <v>81</v>
      </c>
      <c r="I67" s="5" t="s">
        <v>24</v>
      </c>
      <c r="J67" s="5" t="s">
        <v>39</v>
      </c>
      <c r="K67" s="6" t="s">
        <v>40</v>
      </c>
      <c r="L67" s="6" t="s">
        <v>41</v>
      </c>
      <c r="M67" s="6" t="s">
        <v>42</v>
      </c>
      <c r="N67" s="6" t="s">
        <v>43</v>
      </c>
      <c r="O67" s="12">
        <v>9</v>
      </c>
      <c r="P67" s="12">
        <v>25000</v>
      </c>
      <c r="Q67" s="14">
        <v>8</v>
      </c>
      <c r="R67" s="5">
        <v>3</v>
      </c>
      <c r="S67" s="4">
        <v>213210</v>
      </c>
      <c r="T67" s="4" t="s">
        <v>94</v>
      </c>
      <c r="U67" s="6" t="s">
        <v>195</v>
      </c>
      <c r="V67" s="2" t="s">
        <v>138</v>
      </c>
    </row>
    <row r="68" spans="1:22" x14ac:dyDescent="0.35">
      <c r="A68" s="1" t="s">
        <v>404</v>
      </c>
      <c r="B68" s="10">
        <v>45450</v>
      </c>
      <c r="C68" s="2" t="s">
        <v>296</v>
      </c>
      <c r="D68" s="2" t="s">
        <v>405</v>
      </c>
      <c r="E68" s="2" t="s">
        <v>406</v>
      </c>
      <c r="F68" s="2" t="s">
        <v>407</v>
      </c>
      <c r="G68" s="2" t="s">
        <v>70</v>
      </c>
      <c r="H68" s="1" t="s">
        <v>70</v>
      </c>
      <c r="I68" s="1" t="s">
        <v>71</v>
      </c>
      <c r="J68" s="1" t="s">
        <v>250</v>
      </c>
      <c r="K68" s="2" t="s">
        <v>251</v>
      </c>
      <c r="L68" s="2" t="s">
        <v>84</v>
      </c>
      <c r="M68" s="2" t="s">
        <v>85</v>
      </c>
      <c r="N68" s="2" t="s">
        <v>252</v>
      </c>
      <c r="O68" s="12">
        <v>10</v>
      </c>
      <c r="P68" s="12">
        <v>42000</v>
      </c>
      <c r="Q68" s="13">
        <v>5</v>
      </c>
      <c r="R68" s="1">
        <v>18</v>
      </c>
      <c r="S68" s="4">
        <v>470820</v>
      </c>
      <c r="T68" s="4" t="s">
        <v>54</v>
      </c>
      <c r="U68" s="2" t="s">
        <v>30</v>
      </c>
      <c r="V68" s="2" t="s">
        <v>138</v>
      </c>
    </row>
    <row r="69" spans="1:22" x14ac:dyDescent="0.35">
      <c r="A69" s="5" t="s">
        <v>408</v>
      </c>
      <c r="B69" s="10">
        <v>45353</v>
      </c>
      <c r="C69" s="6" t="s">
        <v>262</v>
      </c>
      <c r="D69" s="6" t="s">
        <v>409</v>
      </c>
      <c r="E69" s="6" t="s">
        <v>410</v>
      </c>
      <c r="F69" s="6" t="s">
        <v>411</v>
      </c>
      <c r="G69" s="6" t="s">
        <v>230</v>
      </c>
      <c r="H69" s="5" t="s">
        <v>231</v>
      </c>
      <c r="I69" s="5" t="s">
        <v>24</v>
      </c>
      <c r="J69" s="5" t="s">
        <v>354</v>
      </c>
      <c r="K69" s="6" t="s">
        <v>355</v>
      </c>
      <c r="L69" s="6" t="s">
        <v>62</v>
      </c>
      <c r="M69" s="6" t="s">
        <v>356</v>
      </c>
      <c r="N69" s="6" t="s">
        <v>357</v>
      </c>
      <c r="O69" s="12">
        <v>6</v>
      </c>
      <c r="P69" s="12">
        <v>4500</v>
      </c>
      <c r="Q69" s="14">
        <v>15</v>
      </c>
      <c r="R69" s="5">
        <v>5</v>
      </c>
      <c r="S69" s="4">
        <v>24097.5</v>
      </c>
      <c r="T69" s="4" t="s">
        <v>94</v>
      </c>
      <c r="U69" s="6" t="s">
        <v>87</v>
      </c>
      <c r="V69" s="2" t="s">
        <v>95</v>
      </c>
    </row>
    <row r="70" spans="1:22" x14ac:dyDescent="0.35">
      <c r="A70" s="1" t="s">
        <v>412</v>
      </c>
      <c r="B70" s="10">
        <v>45304</v>
      </c>
      <c r="C70" s="2" t="s">
        <v>1772</v>
      </c>
      <c r="D70" s="2" t="s">
        <v>413</v>
      </c>
      <c r="E70" s="2" t="s">
        <v>414</v>
      </c>
      <c r="F70" s="2" t="s">
        <v>415</v>
      </c>
      <c r="G70" s="2" t="s">
        <v>349</v>
      </c>
      <c r="H70" s="1" t="s">
        <v>209</v>
      </c>
      <c r="I70" s="1" t="s">
        <v>210</v>
      </c>
      <c r="J70" s="1" t="s">
        <v>250</v>
      </c>
      <c r="K70" s="2" t="s">
        <v>251</v>
      </c>
      <c r="L70" s="2" t="s">
        <v>84</v>
      </c>
      <c r="M70" s="2" t="s">
        <v>85</v>
      </c>
      <c r="N70" s="2" t="s">
        <v>252</v>
      </c>
      <c r="O70" s="12">
        <v>3</v>
      </c>
      <c r="P70" s="12">
        <v>42000</v>
      </c>
      <c r="Q70" s="13">
        <v>0</v>
      </c>
      <c r="R70" s="1">
        <v>18</v>
      </c>
      <c r="S70" s="4">
        <v>148680</v>
      </c>
      <c r="T70" s="4" t="s">
        <v>294</v>
      </c>
      <c r="U70" s="2" t="s">
        <v>30</v>
      </c>
      <c r="V70" s="2" t="s">
        <v>95</v>
      </c>
    </row>
    <row r="71" spans="1:22" x14ac:dyDescent="0.35">
      <c r="A71" s="5" t="s">
        <v>416</v>
      </c>
      <c r="B71" s="10">
        <v>45324</v>
      </c>
      <c r="C71" s="6" t="s">
        <v>233</v>
      </c>
      <c r="D71" s="6" t="s">
        <v>417</v>
      </c>
      <c r="E71" s="6" t="s">
        <v>418</v>
      </c>
      <c r="F71" s="6" t="s">
        <v>419</v>
      </c>
      <c r="G71" s="6" t="s">
        <v>315</v>
      </c>
      <c r="H71" s="5" t="s">
        <v>256</v>
      </c>
      <c r="I71" s="5" t="s">
        <v>24</v>
      </c>
      <c r="J71" s="5" t="s">
        <v>242</v>
      </c>
      <c r="K71" s="6" t="s">
        <v>243</v>
      </c>
      <c r="L71" s="6" t="s">
        <v>84</v>
      </c>
      <c r="M71" s="6" t="s">
        <v>244</v>
      </c>
      <c r="N71" s="6" t="s">
        <v>245</v>
      </c>
      <c r="O71" s="12">
        <v>1</v>
      </c>
      <c r="P71" s="12">
        <v>3200</v>
      </c>
      <c r="Q71" s="14">
        <v>5</v>
      </c>
      <c r="R71" s="5">
        <v>18</v>
      </c>
      <c r="S71" s="4">
        <v>3587.2</v>
      </c>
      <c r="T71" s="4" t="s">
        <v>294</v>
      </c>
      <c r="U71" s="3" t="s">
        <v>30</v>
      </c>
      <c r="V71" s="2" t="s">
        <v>138</v>
      </c>
    </row>
    <row r="72" spans="1:22" x14ac:dyDescent="0.35">
      <c r="A72" s="1" t="s">
        <v>420</v>
      </c>
      <c r="B72" s="10">
        <v>45421</v>
      </c>
      <c r="C72" s="2" t="s">
        <v>197</v>
      </c>
      <c r="D72" s="2" t="s">
        <v>421</v>
      </c>
      <c r="E72" s="2" t="s">
        <v>371</v>
      </c>
      <c r="F72" s="2" t="s">
        <v>422</v>
      </c>
      <c r="G72" s="2" t="s">
        <v>349</v>
      </c>
      <c r="H72" s="1" t="s">
        <v>209</v>
      </c>
      <c r="I72" s="1" t="s">
        <v>210</v>
      </c>
      <c r="J72" s="1" t="s">
        <v>215</v>
      </c>
      <c r="K72" s="2" t="s">
        <v>216</v>
      </c>
      <c r="L72" s="2" t="s">
        <v>27</v>
      </c>
      <c r="M72" s="2" t="s">
        <v>127</v>
      </c>
      <c r="N72" s="2" t="s">
        <v>217</v>
      </c>
      <c r="O72" s="12">
        <v>9</v>
      </c>
      <c r="P72" s="12">
        <v>40</v>
      </c>
      <c r="Q72" s="13">
        <v>15</v>
      </c>
      <c r="R72" s="1">
        <v>5</v>
      </c>
      <c r="S72" s="4">
        <v>321.3</v>
      </c>
      <c r="T72" s="4" t="s">
        <v>1794</v>
      </c>
      <c r="U72" s="3" t="s">
        <v>116</v>
      </c>
      <c r="V72" s="2" t="s">
        <v>95</v>
      </c>
    </row>
    <row r="73" spans="1:22" x14ac:dyDescent="0.35">
      <c r="A73" s="5" t="s">
        <v>423</v>
      </c>
      <c r="B73" s="10">
        <v>45404</v>
      </c>
      <c r="C73" s="6" t="s">
        <v>1764</v>
      </c>
      <c r="D73" s="6" t="s">
        <v>424</v>
      </c>
      <c r="E73" s="6" t="s">
        <v>425</v>
      </c>
      <c r="F73" s="6" t="s">
        <v>426</v>
      </c>
      <c r="G73" s="6" t="s">
        <v>109</v>
      </c>
      <c r="H73" s="5" t="s">
        <v>48</v>
      </c>
      <c r="I73" s="5" t="s">
        <v>24</v>
      </c>
      <c r="J73" s="5" t="s">
        <v>100</v>
      </c>
      <c r="K73" s="6" t="s">
        <v>101</v>
      </c>
      <c r="L73" s="6" t="s">
        <v>51</v>
      </c>
      <c r="M73" s="6" t="s">
        <v>102</v>
      </c>
      <c r="N73" s="6" t="s">
        <v>103</v>
      </c>
      <c r="O73" s="12">
        <v>10</v>
      </c>
      <c r="P73" s="12">
        <v>2800</v>
      </c>
      <c r="Q73" s="14">
        <v>20</v>
      </c>
      <c r="R73" s="5">
        <v>18</v>
      </c>
      <c r="S73" s="4">
        <v>26432</v>
      </c>
      <c r="T73" s="4" t="s">
        <v>94</v>
      </c>
      <c r="U73" s="6" t="s">
        <v>30</v>
      </c>
      <c r="V73" s="2" t="s">
        <v>95</v>
      </c>
    </row>
    <row r="74" spans="1:22" x14ac:dyDescent="0.35">
      <c r="A74" s="5" t="s">
        <v>427</v>
      </c>
      <c r="B74" s="10">
        <v>45448</v>
      </c>
      <c r="C74" s="6" t="s">
        <v>1773</v>
      </c>
      <c r="D74" s="6" t="s">
        <v>428</v>
      </c>
      <c r="E74" s="6" t="s">
        <v>429</v>
      </c>
      <c r="F74" s="6" t="s">
        <v>430</v>
      </c>
      <c r="G74" s="6" t="s">
        <v>150</v>
      </c>
      <c r="H74" s="5" t="s">
        <v>93</v>
      </c>
      <c r="I74" s="5" t="s">
        <v>38</v>
      </c>
      <c r="J74" s="5" t="s">
        <v>100</v>
      </c>
      <c r="K74" s="6" t="s">
        <v>101</v>
      </c>
      <c r="L74" s="6" t="s">
        <v>51</v>
      </c>
      <c r="M74" s="6" t="s">
        <v>102</v>
      </c>
      <c r="N74" s="6" t="s">
        <v>103</v>
      </c>
      <c r="O74" s="12">
        <v>8</v>
      </c>
      <c r="P74" s="12">
        <v>2800</v>
      </c>
      <c r="Q74" s="13">
        <v>15</v>
      </c>
      <c r="R74" s="5">
        <v>18</v>
      </c>
      <c r="S74" s="4">
        <v>22467.199999999997</v>
      </c>
      <c r="T74" s="4" t="s">
        <v>54</v>
      </c>
      <c r="U74" s="3" t="s">
        <v>30</v>
      </c>
      <c r="V74" s="2" t="s">
        <v>138</v>
      </c>
    </row>
    <row r="75" spans="1:22" x14ac:dyDescent="0.35">
      <c r="A75" s="1" t="s">
        <v>431</v>
      </c>
      <c r="B75" s="10">
        <v>45312</v>
      </c>
      <c r="C75" s="2" t="s">
        <v>233</v>
      </c>
      <c r="D75" s="2" t="s">
        <v>432</v>
      </c>
      <c r="E75" s="2" t="s">
        <v>418</v>
      </c>
      <c r="F75" s="2" t="s">
        <v>433</v>
      </c>
      <c r="G75" s="2" t="s">
        <v>92</v>
      </c>
      <c r="H75" s="1" t="s">
        <v>93</v>
      </c>
      <c r="I75" s="1" t="s">
        <v>38</v>
      </c>
      <c r="J75" s="1" t="s">
        <v>434</v>
      </c>
      <c r="K75" s="2" t="s">
        <v>435</v>
      </c>
      <c r="L75" s="2" t="s">
        <v>62</v>
      </c>
      <c r="M75" s="2" t="s">
        <v>160</v>
      </c>
      <c r="N75" s="2" t="s">
        <v>436</v>
      </c>
      <c r="O75" s="12">
        <v>5</v>
      </c>
      <c r="P75" s="12">
        <v>1200</v>
      </c>
      <c r="Q75" s="14">
        <v>20</v>
      </c>
      <c r="R75" s="1">
        <v>5</v>
      </c>
      <c r="S75" s="4">
        <v>5040</v>
      </c>
      <c r="T75" s="4" t="s">
        <v>1794</v>
      </c>
      <c r="U75" s="2" t="s">
        <v>137</v>
      </c>
      <c r="V75" s="2" t="s">
        <v>138</v>
      </c>
    </row>
    <row r="76" spans="1:22" x14ac:dyDescent="0.35">
      <c r="A76" s="5" t="s">
        <v>437</v>
      </c>
      <c r="B76" s="10">
        <v>45332</v>
      </c>
      <c r="C76" s="6" t="s">
        <v>296</v>
      </c>
      <c r="D76" s="6" t="s">
        <v>438</v>
      </c>
      <c r="E76" s="6" t="s">
        <v>439</v>
      </c>
      <c r="F76" s="6" t="s">
        <v>440</v>
      </c>
      <c r="G76" s="6" t="s">
        <v>36</v>
      </c>
      <c r="H76" s="5" t="s">
        <v>37</v>
      </c>
      <c r="I76" s="5" t="s">
        <v>38</v>
      </c>
      <c r="J76" s="5" t="s">
        <v>172</v>
      </c>
      <c r="K76" s="6" t="s">
        <v>173</v>
      </c>
      <c r="L76" s="6" t="s">
        <v>84</v>
      </c>
      <c r="M76" s="6" t="s">
        <v>174</v>
      </c>
      <c r="N76" s="6" t="s">
        <v>175</v>
      </c>
      <c r="O76" s="12">
        <v>1</v>
      </c>
      <c r="P76" s="12">
        <v>299</v>
      </c>
      <c r="Q76" s="13">
        <v>20</v>
      </c>
      <c r="R76" s="5">
        <v>18</v>
      </c>
      <c r="S76" s="4">
        <v>282.25600000000003</v>
      </c>
      <c r="T76" s="4" t="s">
        <v>65</v>
      </c>
      <c r="U76" s="6" t="s">
        <v>137</v>
      </c>
      <c r="V76" s="2" t="s">
        <v>138</v>
      </c>
    </row>
    <row r="77" spans="1:22" x14ac:dyDescent="0.35">
      <c r="A77" s="1" t="s">
        <v>441</v>
      </c>
      <c r="B77" s="10">
        <v>45368</v>
      </c>
      <c r="C77" s="2" t="s">
        <v>1784</v>
      </c>
      <c r="D77" s="2" t="s">
        <v>442</v>
      </c>
      <c r="E77" s="2" t="s">
        <v>443</v>
      </c>
      <c r="F77" s="2" t="s">
        <v>444</v>
      </c>
      <c r="G77" s="2" t="s">
        <v>114</v>
      </c>
      <c r="H77" s="1" t="s">
        <v>115</v>
      </c>
      <c r="I77" s="1" t="s">
        <v>71</v>
      </c>
      <c r="J77" s="1" t="s">
        <v>39</v>
      </c>
      <c r="K77" s="2" t="s">
        <v>40</v>
      </c>
      <c r="L77" s="2" t="s">
        <v>41</v>
      </c>
      <c r="M77" s="2" t="s">
        <v>42</v>
      </c>
      <c r="N77" s="2" t="s">
        <v>43</v>
      </c>
      <c r="O77" s="12">
        <v>1</v>
      </c>
      <c r="P77" s="12">
        <v>25000</v>
      </c>
      <c r="Q77" s="14">
        <v>0</v>
      </c>
      <c r="R77" s="1">
        <v>3</v>
      </c>
      <c r="S77" s="4">
        <v>25750</v>
      </c>
      <c r="T77" s="4" t="s">
        <v>1794</v>
      </c>
      <c r="U77" s="2" t="s">
        <v>137</v>
      </c>
      <c r="V77" s="2" t="s">
        <v>95</v>
      </c>
    </row>
    <row r="78" spans="1:22" x14ac:dyDescent="0.35">
      <c r="A78" s="5" t="s">
        <v>445</v>
      </c>
      <c r="B78" s="10">
        <v>45401</v>
      </c>
      <c r="C78" s="6" t="s">
        <v>1777</v>
      </c>
      <c r="D78" s="6" t="s">
        <v>446</v>
      </c>
      <c r="E78" s="6" t="s">
        <v>447</v>
      </c>
      <c r="F78" s="6" t="s">
        <v>448</v>
      </c>
      <c r="G78" s="6" t="s">
        <v>150</v>
      </c>
      <c r="H78" s="5" t="s">
        <v>93</v>
      </c>
      <c r="I78" s="5" t="s">
        <v>38</v>
      </c>
      <c r="J78" s="5" t="s">
        <v>276</v>
      </c>
      <c r="K78" s="6" t="s">
        <v>277</v>
      </c>
      <c r="L78" s="6" t="s">
        <v>51</v>
      </c>
      <c r="M78" s="6" t="s">
        <v>102</v>
      </c>
      <c r="N78" s="6" t="s">
        <v>278</v>
      </c>
      <c r="O78" s="12">
        <v>3</v>
      </c>
      <c r="P78" s="12">
        <v>1500</v>
      </c>
      <c r="Q78" s="13">
        <v>15</v>
      </c>
      <c r="R78" s="5">
        <v>18</v>
      </c>
      <c r="S78" s="4">
        <v>4513.5</v>
      </c>
      <c r="T78" s="4" t="s">
        <v>65</v>
      </c>
      <c r="U78" s="3" t="s">
        <v>116</v>
      </c>
      <c r="V78" s="2" t="s">
        <v>138</v>
      </c>
    </row>
    <row r="79" spans="1:22" x14ac:dyDescent="0.35">
      <c r="A79" s="1" t="s">
        <v>449</v>
      </c>
      <c r="B79" s="10">
        <v>45386</v>
      </c>
      <c r="C79" s="2" t="s">
        <v>262</v>
      </c>
      <c r="D79" s="2" t="s">
        <v>450</v>
      </c>
      <c r="E79" s="2" t="s">
        <v>451</v>
      </c>
      <c r="F79" s="2" t="s">
        <v>452</v>
      </c>
      <c r="G79" s="2" t="s">
        <v>237</v>
      </c>
      <c r="H79" s="1" t="s">
        <v>23</v>
      </c>
      <c r="I79" s="1" t="s">
        <v>24</v>
      </c>
      <c r="J79" s="1" t="s">
        <v>25</v>
      </c>
      <c r="K79" s="2" t="s">
        <v>26</v>
      </c>
      <c r="L79" s="2" t="s">
        <v>27</v>
      </c>
      <c r="M79" s="2" t="s">
        <v>28</v>
      </c>
      <c r="N79" s="2" t="s">
        <v>29</v>
      </c>
      <c r="O79" s="12">
        <v>1</v>
      </c>
      <c r="P79" s="12">
        <v>450</v>
      </c>
      <c r="Q79" s="14">
        <v>12</v>
      </c>
      <c r="R79" s="1">
        <v>5</v>
      </c>
      <c r="S79" s="4">
        <v>415.8</v>
      </c>
      <c r="T79" s="4" t="s">
        <v>1794</v>
      </c>
      <c r="U79" s="2" t="s">
        <v>87</v>
      </c>
      <c r="V79" s="2" t="s">
        <v>138</v>
      </c>
    </row>
    <row r="80" spans="1:22" x14ac:dyDescent="0.35">
      <c r="A80" s="5" t="s">
        <v>453</v>
      </c>
      <c r="B80" s="10">
        <v>45330</v>
      </c>
      <c r="C80" s="6" t="s">
        <v>1781</v>
      </c>
      <c r="D80" s="6" t="s">
        <v>454</v>
      </c>
      <c r="E80" s="6" t="s">
        <v>455</v>
      </c>
      <c r="F80" s="6" t="s">
        <v>456</v>
      </c>
      <c r="G80" s="6" t="s">
        <v>109</v>
      </c>
      <c r="H80" s="5" t="s">
        <v>48</v>
      </c>
      <c r="I80" s="5" t="s">
        <v>24</v>
      </c>
      <c r="J80" s="5" t="s">
        <v>434</v>
      </c>
      <c r="K80" s="6" t="s">
        <v>435</v>
      </c>
      <c r="L80" s="6" t="s">
        <v>62</v>
      </c>
      <c r="M80" s="6" t="s">
        <v>160</v>
      </c>
      <c r="N80" s="6" t="s">
        <v>436</v>
      </c>
      <c r="O80" s="12">
        <v>10</v>
      </c>
      <c r="P80" s="12">
        <v>1200</v>
      </c>
      <c r="Q80" s="13">
        <v>5</v>
      </c>
      <c r="R80" s="5">
        <v>5</v>
      </c>
      <c r="S80" s="4">
        <v>11970</v>
      </c>
      <c r="T80" s="4" t="s">
        <v>94</v>
      </c>
      <c r="U80" s="6" t="s">
        <v>30</v>
      </c>
      <c r="V80" s="2" t="s">
        <v>138</v>
      </c>
    </row>
    <row r="81" spans="1:22" x14ac:dyDescent="0.35">
      <c r="A81" s="1" t="s">
        <v>457</v>
      </c>
      <c r="B81" s="10">
        <v>45380</v>
      </c>
      <c r="C81" s="2" t="s">
        <v>458</v>
      </c>
      <c r="D81" s="2" t="s">
        <v>459</v>
      </c>
      <c r="E81" s="2" t="s">
        <v>460</v>
      </c>
      <c r="F81" s="2" t="s">
        <v>461</v>
      </c>
      <c r="G81" s="2" t="s">
        <v>150</v>
      </c>
      <c r="H81" s="1" t="s">
        <v>93</v>
      </c>
      <c r="I81" s="1" t="s">
        <v>38</v>
      </c>
      <c r="J81" s="1" t="s">
        <v>215</v>
      </c>
      <c r="K81" s="2" t="s">
        <v>216</v>
      </c>
      <c r="L81" s="2" t="s">
        <v>27</v>
      </c>
      <c r="M81" s="2" t="s">
        <v>127</v>
      </c>
      <c r="N81" s="2" t="s">
        <v>217</v>
      </c>
      <c r="O81" s="12">
        <v>10</v>
      </c>
      <c r="P81" s="12">
        <v>40</v>
      </c>
      <c r="Q81" s="14">
        <v>20</v>
      </c>
      <c r="R81" s="1">
        <v>5</v>
      </c>
      <c r="S81" s="4">
        <v>336</v>
      </c>
      <c r="T81" s="4" t="s">
        <v>94</v>
      </c>
      <c r="U81" s="2" t="s">
        <v>137</v>
      </c>
      <c r="V81" s="2" t="s">
        <v>138</v>
      </c>
    </row>
    <row r="82" spans="1:22" x14ac:dyDescent="0.35">
      <c r="A82" s="5" t="s">
        <v>462</v>
      </c>
      <c r="B82" s="10">
        <v>45322</v>
      </c>
      <c r="C82" s="6" t="s">
        <v>1771</v>
      </c>
      <c r="D82" s="6" t="s">
        <v>463</v>
      </c>
      <c r="E82" s="6" t="s">
        <v>464</v>
      </c>
      <c r="F82" s="6" t="s">
        <v>465</v>
      </c>
      <c r="G82" s="6" t="s">
        <v>114</v>
      </c>
      <c r="H82" s="5" t="s">
        <v>115</v>
      </c>
      <c r="I82" s="5" t="s">
        <v>71</v>
      </c>
      <c r="J82" s="5" t="s">
        <v>39</v>
      </c>
      <c r="K82" s="6" t="s">
        <v>40</v>
      </c>
      <c r="L82" s="6" t="s">
        <v>41</v>
      </c>
      <c r="M82" s="6" t="s">
        <v>42</v>
      </c>
      <c r="N82" s="6" t="s">
        <v>43</v>
      </c>
      <c r="O82" s="12">
        <v>6</v>
      </c>
      <c r="P82" s="12">
        <v>25000</v>
      </c>
      <c r="Q82" s="13">
        <v>20</v>
      </c>
      <c r="R82" s="5">
        <v>3</v>
      </c>
      <c r="S82" s="4">
        <v>123600</v>
      </c>
      <c r="T82" s="4" t="s">
        <v>65</v>
      </c>
      <c r="U82" s="3" t="s">
        <v>30</v>
      </c>
      <c r="V82" s="2" t="s">
        <v>95</v>
      </c>
    </row>
    <row r="83" spans="1:22" x14ac:dyDescent="0.35">
      <c r="A83" s="1" t="s">
        <v>466</v>
      </c>
      <c r="B83" s="10">
        <v>45309</v>
      </c>
      <c r="C83" s="2" t="s">
        <v>467</v>
      </c>
      <c r="D83" s="2" t="s">
        <v>468</v>
      </c>
      <c r="E83" s="2" t="s">
        <v>469</v>
      </c>
      <c r="F83" s="2" t="s">
        <v>470</v>
      </c>
      <c r="G83" s="2" t="s">
        <v>237</v>
      </c>
      <c r="H83" s="1" t="s">
        <v>23</v>
      </c>
      <c r="I83" s="1" t="s">
        <v>24</v>
      </c>
      <c r="J83" s="1" t="s">
        <v>49</v>
      </c>
      <c r="K83" s="2" t="s">
        <v>50</v>
      </c>
      <c r="L83" s="2" t="s">
        <v>51</v>
      </c>
      <c r="M83" s="2" t="s">
        <v>52</v>
      </c>
      <c r="N83" s="2" t="s">
        <v>53</v>
      </c>
      <c r="O83" s="12">
        <v>4</v>
      </c>
      <c r="P83" s="12">
        <v>28000</v>
      </c>
      <c r="Q83" s="14">
        <v>5</v>
      </c>
      <c r="R83" s="1">
        <v>18</v>
      </c>
      <c r="S83" s="4">
        <v>125552</v>
      </c>
      <c r="T83" s="4" t="s">
        <v>1793</v>
      </c>
      <c r="U83" s="2" t="s">
        <v>30</v>
      </c>
      <c r="V83" s="2" t="s">
        <v>95</v>
      </c>
    </row>
    <row r="84" spans="1:22" x14ac:dyDescent="0.35">
      <c r="A84" s="1" t="s">
        <v>471</v>
      </c>
      <c r="B84" s="10">
        <v>45368</v>
      </c>
      <c r="C84" s="2" t="s">
        <v>262</v>
      </c>
      <c r="D84" s="2" t="s">
        <v>472</v>
      </c>
      <c r="E84" s="2" t="s">
        <v>473</v>
      </c>
      <c r="F84" s="2" t="s">
        <v>474</v>
      </c>
      <c r="G84" s="2" t="s">
        <v>150</v>
      </c>
      <c r="H84" s="1" t="s">
        <v>93</v>
      </c>
      <c r="I84" s="1" t="s">
        <v>38</v>
      </c>
      <c r="J84" s="1" t="s">
        <v>25</v>
      </c>
      <c r="K84" s="2" t="s">
        <v>26</v>
      </c>
      <c r="L84" s="2" t="s">
        <v>27</v>
      </c>
      <c r="M84" s="2" t="s">
        <v>28</v>
      </c>
      <c r="N84" s="2" t="s">
        <v>29</v>
      </c>
      <c r="O84" s="12">
        <v>5</v>
      </c>
      <c r="P84" s="12">
        <v>450</v>
      </c>
      <c r="Q84" s="13">
        <v>15</v>
      </c>
      <c r="R84" s="1">
        <v>5</v>
      </c>
      <c r="S84" s="4">
        <v>2008.125</v>
      </c>
      <c r="T84" s="4" t="s">
        <v>94</v>
      </c>
      <c r="U84" s="2" t="s">
        <v>30</v>
      </c>
      <c r="V84" s="2" t="s">
        <v>138</v>
      </c>
    </row>
    <row r="85" spans="1:22" x14ac:dyDescent="0.35">
      <c r="A85" s="5" t="s">
        <v>475</v>
      </c>
      <c r="B85" s="10">
        <v>45397</v>
      </c>
      <c r="C85" s="6" t="s">
        <v>1767</v>
      </c>
      <c r="D85" s="6" t="s">
        <v>476</v>
      </c>
      <c r="E85" s="6" t="s">
        <v>477</v>
      </c>
      <c r="F85" s="6" t="s">
        <v>478</v>
      </c>
      <c r="G85" s="6" t="s">
        <v>315</v>
      </c>
      <c r="H85" s="5" t="s">
        <v>256</v>
      </c>
      <c r="I85" s="5" t="s">
        <v>24</v>
      </c>
      <c r="J85" s="5" t="s">
        <v>125</v>
      </c>
      <c r="K85" s="6" t="s">
        <v>126</v>
      </c>
      <c r="L85" s="6" t="s">
        <v>27</v>
      </c>
      <c r="M85" s="6" t="s">
        <v>127</v>
      </c>
      <c r="N85" s="6" t="s">
        <v>128</v>
      </c>
      <c r="O85" s="12">
        <v>7</v>
      </c>
      <c r="P85" s="12">
        <v>50</v>
      </c>
      <c r="Q85" s="14">
        <v>10</v>
      </c>
      <c r="R85" s="5">
        <v>5</v>
      </c>
      <c r="S85" s="4">
        <v>330.75</v>
      </c>
      <c r="T85" s="4" t="s">
        <v>65</v>
      </c>
      <c r="U85" s="6" t="s">
        <v>137</v>
      </c>
      <c r="V85" s="2" t="s">
        <v>138</v>
      </c>
    </row>
    <row r="86" spans="1:22" x14ac:dyDescent="0.35">
      <c r="A86" s="1" t="s">
        <v>479</v>
      </c>
      <c r="B86" s="10">
        <v>45322</v>
      </c>
      <c r="C86" s="2" t="s">
        <v>330</v>
      </c>
      <c r="D86" s="2" t="s">
        <v>480</v>
      </c>
      <c r="E86" s="2" t="s">
        <v>481</v>
      </c>
      <c r="F86" s="2" t="s">
        <v>482</v>
      </c>
      <c r="G86" s="2" t="s">
        <v>237</v>
      </c>
      <c r="H86" s="1" t="s">
        <v>23</v>
      </c>
      <c r="I86" s="1" t="s">
        <v>24</v>
      </c>
      <c r="J86" s="1" t="s">
        <v>354</v>
      </c>
      <c r="K86" s="2" t="s">
        <v>355</v>
      </c>
      <c r="L86" s="2" t="s">
        <v>62</v>
      </c>
      <c r="M86" s="2" t="s">
        <v>356</v>
      </c>
      <c r="N86" s="2" t="s">
        <v>357</v>
      </c>
      <c r="O86" s="12">
        <v>10</v>
      </c>
      <c r="P86" s="12">
        <v>4500</v>
      </c>
      <c r="Q86" s="13">
        <v>10</v>
      </c>
      <c r="R86" s="1">
        <v>5</v>
      </c>
      <c r="S86" s="4">
        <v>42525</v>
      </c>
      <c r="T86" s="4" t="s">
        <v>1793</v>
      </c>
      <c r="U86" s="2" t="s">
        <v>30</v>
      </c>
      <c r="V86" s="2" t="s">
        <v>95</v>
      </c>
    </row>
    <row r="87" spans="1:22" x14ac:dyDescent="0.35">
      <c r="A87" s="5" t="s">
        <v>483</v>
      </c>
      <c r="B87" s="10">
        <v>45296</v>
      </c>
      <c r="C87" s="6" t="s">
        <v>1780</v>
      </c>
      <c r="D87" s="6" t="s">
        <v>484</v>
      </c>
      <c r="E87" s="6" t="s">
        <v>321</v>
      </c>
      <c r="F87" s="6" t="s">
        <v>485</v>
      </c>
      <c r="G87" s="6" t="s">
        <v>166</v>
      </c>
      <c r="H87" s="5" t="s">
        <v>167</v>
      </c>
      <c r="I87" s="5" t="s">
        <v>71</v>
      </c>
      <c r="J87" s="5" t="s">
        <v>266</v>
      </c>
      <c r="K87" s="6" t="s">
        <v>267</v>
      </c>
      <c r="L87" s="6" t="s">
        <v>62</v>
      </c>
      <c r="M87" s="6" t="s">
        <v>63</v>
      </c>
      <c r="N87" s="6" t="s">
        <v>268</v>
      </c>
      <c r="O87" s="12">
        <v>8</v>
      </c>
      <c r="P87" s="12">
        <v>8500</v>
      </c>
      <c r="Q87" s="14">
        <v>15</v>
      </c>
      <c r="R87" s="5">
        <v>18</v>
      </c>
      <c r="S87" s="4">
        <v>68204</v>
      </c>
      <c r="T87" s="4" t="s">
        <v>294</v>
      </c>
      <c r="U87" s="6" t="s">
        <v>30</v>
      </c>
      <c r="V87" s="2" t="s">
        <v>95</v>
      </c>
    </row>
    <row r="88" spans="1:22" x14ac:dyDescent="0.35">
      <c r="A88" s="1" t="s">
        <v>486</v>
      </c>
      <c r="B88" s="10">
        <v>45430</v>
      </c>
      <c r="C88" s="2" t="s">
        <v>197</v>
      </c>
      <c r="D88" s="2" t="s">
        <v>487</v>
      </c>
      <c r="E88" s="2" t="s">
        <v>488</v>
      </c>
      <c r="F88" s="2" t="s">
        <v>489</v>
      </c>
      <c r="G88" s="2" t="s">
        <v>166</v>
      </c>
      <c r="H88" s="1" t="s">
        <v>167</v>
      </c>
      <c r="I88" s="1" t="s">
        <v>71</v>
      </c>
      <c r="J88" s="1" t="s">
        <v>60</v>
      </c>
      <c r="K88" s="2" t="s">
        <v>61</v>
      </c>
      <c r="L88" s="2" t="s">
        <v>62</v>
      </c>
      <c r="M88" s="2" t="s">
        <v>63</v>
      </c>
      <c r="N88" s="2" t="s">
        <v>64</v>
      </c>
      <c r="O88" s="12">
        <v>5</v>
      </c>
      <c r="P88" s="12">
        <v>3500</v>
      </c>
      <c r="Q88" s="13">
        <v>25</v>
      </c>
      <c r="R88" s="1">
        <v>18</v>
      </c>
      <c r="S88" s="4">
        <v>15487.5</v>
      </c>
      <c r="T88" s="4" t="s">
        <v>94</v>
      </c>
      <c r="U88" s="3" t="s">
        <v>137</v>
      </c>
      <c r="V88" s="2" t="s">
        <v>95</v>
      </c>
    </row>
    <row r="89" spans="1:22" x14ac:dyDescent="0.35">
      <c r="A89" s="5" t="s">
        <v>490</v>
      </c>
      <c r="B89" s="10">
        <v>45365</v>
      </c>
      <c r="C89" s="6" t="s">
        <v>1763</v>
      </c>
      <c r="D89" s="6" t="s">
        <v>491</v>
      </c>
      <c r="E89" s="6" t="s">
        <v>240</v>
      </c>
      <c r="F89" s="6" t="s">
        <v>492</v>
      </c>
      <c r="G89" s="6" t="s">
        <v>109</v>
      </c>
      <c r="H89" s="5" t="s">
        <v>48</v>
      </c>
      <c r="I89" s="5" t="s">
        <v>24</v>
      </c>
      <c r="J89" s="5" t="s">
        <v>201</v>
      </c>
      <c r="K89" s="6" t="s">
        <v>202</v>
      </c>
      <c r="L89" s="6" t="s">
        <v>27</v>
      </c>
      <c r="M89" s="6" t="s">
        <v>203</v>
      </c>
      <c r="N89" s="6" t="s">
        <v>204</v>
      </c>
      <c r="O89" s="12">
        <v>6</v>
      </c>
      <c r="P89" s="12">
        <v>280</v>
      </c>
      <c r="Q89" s="14">
        <v>80</v>
      </c>
      <c r="R89" s="5">
        <v>5</v>
      </c>
      <c r="S89" s="4">
        <v>352.79999999999995</v>
      </c>
      <c r="T89" s="4" t="s">
        <v>94</v>
      </c>
      <c r="U89" s="6" t="s">
        <v>195</v>
      </c>
      <c r="V89" s="2" t="s">
        <v>138</v>
      </c>
    </row>
    <row r="90" spans="1:22" x14ac:dyDescent="0.35">
      <c r="A90" s="1" t="s">
        <v>493</v>
      </c>
      <c r="B90" s="10">
        <v>45395</v>
      </c>
      <c r="C90" s="2" t="s">
        <v>1774</v>
      </c>
      <c r="D90" s="2" t="s">
        <v>494</v>
      </c>
      <c r="E90" s="2" t="s">
        <v>170</v>
      </c>
      <c r="F90" s="2" t="s">
        <v>495</v>
      </c>
      <c r="G90" s="2" t="s">
        <v>70</v>
      </c>
      <c r="H90" s="1" t="s">
        <v>70</v>
      </c>
      <c r="I90" s="1" t="s">
        <v>71</v>
      </c>
      <c r="J90" s="1" t="s">
        <v>158</v>
      </c>
      <c r="K90" s="2" t="s">
        <v>159</v>
      </c>
      <c r="L90" s="2" t="s">
        <v>62</v>
      </c>
      <c r="M90" s="2" t="s">
        <v>160</v>
      </c>
      <c r="N90" s="2" t="s">
        <v>161</v>
      </c>
      <c r="O90" s="12">
        <v>2</v>
      </c>
      <c r="P90" s="12">
        <v>2500</v>
      </c>
      <c r="Q90" s="13">
        <v>10</v>
      </c>
      <c r="R90" s="1">
        <v>5</v>
      </c>
      <c r="S90" s="4">
        <v>4725</v>
      </c>
      <c r="T90" s="4" t="s">
        <v>54</v>
      </c>
      <c r="U90" s="2" t="s">
        <v>137</v>
      </c>
      <c r="V90" s="2" t="s">
        <v>138</v>
      </c>
    </row>
    <row r="91" spans="1:22" x14ac:dyDescent="0.35">
      <c r="A91" s="5" t="s">
        <v>496</v>
      </c>
      <c r="B91" s="10">
        <v>45337</v>
      </c>
      <c r="C91" s="6" t="s">
        <v>330</v>
      </c>
      <c r="D91" s="6" t="s">
        <v>497</v>
      </c>
      <c r="E91" s="6" t="s">
        <v>34</v>
      </c>
      <c r="F91" s="6" t="s">
        <v>498</v>
      </c>
      <c r="G91" s="6" t="s">
        <v>150</v>
      </c>
      <c r="H91" s="5" t="s">
        <v>93</v>
      </c>
      <c r="I91" s="5" t="s">
        <v>38</v>
      </c>
      <c r="J91" s="5" t="s">
        <v>201</v>
      </c>
      <c r="K91" s="6" t="s">
        <v>202</v>
      </c>
      <c r="L91" s="6" t="s">
        <v>27</v>
      </c>
      <c r="M91" s="6" t="s">
        <v>203</v>
      </c>
      <c r="N91" s="6" t="s">
        <v>204</v>
      </c>
      <c r="O91" s="12">
        <v>9</v>
      </c>
      <c r="P91" s="12">
        <v>280</v>
      </c>
      <c r="Q91" s="14">
        <v>25</v>
      </c>
      <c r="R91" s="5">
        <v>5</v>
      </c>
      <c r="S91" s="4">
        <v>1984.5</v>
      </c>
      <c r="T91" s="4" t="s">
        <v>1794</v>
      </c>
      <c r="U91" s="3" t="s">
        <v>87</v>
      </c>
      <c r="V91" s="2" t="s">
        <v>95</v>
      </c>
    </row>
    <row r="92" spans="1:22" x14ac:dyDescent="0.35">
      <c r="A92" s="1" t="s">
        <v>499</v>
      </c>
      <c r="B92" s="10">
        <v>45379</v>
      </c>
      <c r="C92" s="2" t="s">
        <v>56</v>
      </c>
      <c r="D92" s="2" t="s">
        <v>500</v>
      </c>
      <c r="E92" s="2" t="s">
        <v>189</v>
      </c>
      <c r="F92" s="3" t="s">
        <v>1789</v>
      </c>
      <c r="G92" s="3" t="s">
        <v>70</v>
      </c>
      <c r="H92" s="1" t="s">
        <v>70</v>
      </c>
      <c r="I92" s="1" t="s">
        <v>71</v>
      </c>
      <c r="J92" s="1" t="s">
        <v>60</v>
      </c>
      <c r="K92" s="2" t="s">
        <v>61</v>
      </c>
      <c r="L92" s="2" t="s">
        <v>62</v>
      </c>
      <c r="M92" s="2" t="s">
        <v>63</v>
      </c>
      <c r="N92" s="2" t="s">
        <v>64</v>
      </c>
      <c r="O92" s="12">
        <v>6</v>
      </c>
      <c r="P92" s="12">
        <v>3500</v>
      </c>
      <c r="Q92" s="13">
        <v>5</v>
      </c>
      <c r="R92" s="1">
        <v>18</v>
      </c>
      <c r="S92" s="4">
        <v>23541</v>
      </c>
      <c r="T92" s="4" t="s">
        <v>294</v>
      </c>
      <c r="U92" s="2" t="s">
        <v>30</v>
      </c>
      <c r="V92" s="2" t="s">
        <v>138</v>
      </c>
    </row>
    <row r="93" spans="1:22" x14ac:dyDescent="0.35">
      <c r="A93" s="5" t="s">
        <v>501</v>
      </c>
      <c r="B93" s="10">
        <v>45384</v>
      </c>
      <c r="C93" s="6" t="s">
        <v>177</v>
      </c>
      <c r="D93" s="6" t="s">
        <v>502</v>
      </c>
      <c r="E93" s="6" t="s">
        <v>207</v>
      </c>
      <c r="F93" s="6" t="s">
        <v>503</v>
      </c>
      <c r="G93" s="6" t="s">
        <v>237</v>
      </c>
      <c r="H93" s="5" t="s">
        <v>23</v>
      </c>
      <c r="I93" s="5" t="s">
        <v>24</v>
      </c>
      <c r="J93" s="5" t="s">
        <v>125</v>
      </c>
      <c r="K93" s="6" t="s">
        <v>126</v>
      </c>
      <c r="L93" s="6" t="s">
        <v>27</v>
      </c>
      <c r="M93" s="6" t="s">
        <v>127</v>
      </c>
      <c r="N93" s="6" t="s">
        <v>128</v>
      </c>
      <c r="O93" s="12">
        <v>7</v>
      </c>
      <c r="P93" s="12">
        <v>50</v>
      </c>
      <c r="Q93" s="14">
        <v>5</v>
      </c>
      <c r="R93" s="5">
        <v>5</v>
      </c>
      <c r="S93" s="4">
        <v>349.125</v>
      </c>
      <c r="T93" s="4" t="s">
        <v>65</v>
      </c>
      <c r="U93" s="3" t="s">
        <v>137</v>
      </c>
      <c r="V93" s="2" t="s">
        <v>95</v>
      </c>
    </row>
    <row r="94" spans="1:22" x14ac:dyDescent="0.35">
      <c r="A94" s="1" t="s">
        <v>504</v>
      </c>
      <c r="B94" s="10">
        <v>45335</v>
      </c>
      <c r="C94" s="2" t="s">
        <v>105</v>
      </c>
      <c r="D94" s="2" t="s">
        <v>505</v>
      </c>
      <c r="E94" s="2" t="s">
        <v>506</v>
      </c>
      <c r="F94" s="2" t="s">
        <v>507</v>
      </c>
      <c r="G94" s="2" t="s">
        <v>70</v>
      </c>
      <c r="H94" s="1" t="s">
        <v>70</v>
      </c>
      <c r="I94" s="1" t="s">
        <v>71</v>
      </c>
      <c r="J94" s="1" t="s">
        <v>49</v>
      </c>
      <c r="K94" s="2" t="s">
        <v>50</v>
      </c>
      <c r="L94" s="2" t="s">
        <v>51</v>
      </c>
      <c r="M94" s="2" t="s">
        <v>52</v>
      </c>
      <c r="N94" s="2" t="s">
        <v>53</v>
      </c>
      <c r="O94" s="12">
        <v>9</v>
      </c>
      <c r="P94" s="12">
        <v>28000</v>
      </c>
      <c r="Q94" s="13">
        <v>12</v>
      </c>
      <c r="R94" s="1">
        <v>18</v>
      </c>
      <c r="S94" s="4">
        <v>261676.79999999999</v>
      </c>
      <c r="T94" s="4" t="s">
        <v>94</v>
      </c>
      <c r="U94" s="2" t="s">
        <v>30</v>
      </c>
      <c r="V94" s="2" t="s">
        <v>138</v>
      </c>
    </row>
    <row r="95" spans="1:22" x14ac:dyDescent="0.35">
      <c r="A95" s="5" t="s">
        <v>508</v>
      </c>
      <c r="B95" s="10">
        <v>45402</v>
      </c>
      <c r="C95" s="6" t="s">
        <v>1783</v>
      </c>
      <c r="D95" s="6" t="s">
        <v>509</v>
      </c>
      <c r="E95" s="6" t="s">
        <v>510</v>
      </c>
      <c r="F95" s="6" t="s">
        <v>511</v>
      </c>
      <c r="G95" s="6" t="s">
        <v>109</v>
      </c>
      <c r="H95" s="5" t="s">
        <v>48</v>
      </c>
      <c r="I95" s="5" t="s">
        <v>24</v>
      </c>
      <c r="J95" s="5" t="s">
        <v>257</v>
      </c>
      <c r="K95" s="6" t="s">
        <v>258</v>
      </c>
      <c r="L95" s="6" t="s">
        <v>62</v>
      </c>
      <c r="M95" s="6" t="s">
        <v>259</v>
      </c>
      <c r="N95" s="6" t="s">
        <v>260</v>
      </c>
      <c r="O95" s="12">
        <v>8</v>
      </c>
      <c r="P95" s="12">
        <v>3500</v>
      </c>
      <c r="Q95" s="14">
        <v>20</v>
      </c>
      <c r="R95" s="5">
        <v>5</v>
      </c>
      <c r="S95" s="4">
        <v>23520</v>
      </c>
      <c r="T95" s="4" t="s">
        <v>1793</v>
      </c>
      <c r="U95" s="3" t="s">
        <v>137</v>
      </c>
      <c r="V95" s="2" t="s">
        <v>95</v>
      </c>
    </row>
    <row r="96" spans="1:22" x14ac:dyDescent="0.35">
      <c r="A96" s="1" t="s">
        <v>512</v>
      </c>
      <c r="B96" s="10">
        <v>45345</v>
      </c>
      <c r="C96" s="2" t="s">
        <v>1778</v>
      </c>
      <c r="D96" s="2" t="s">
        <v>513</v>
      </c>
      <c r="E96" s="2" t="s">
        <v>514</v>
      </c>
      <c r="F96" s="2" t="s">
        <v>515</v>
      </c>
      <c r="G96" s="2" t="s">
        <v>230</v>
      </c>
      <c r="H96" s="1" t="s">
        <v>231</v>
      </c>
      <c r="I96" s="1" t="s">
        <v>24</v>
      </c>
      <c r="J96" s="1" t="s">
        <v>257</v>
      </c>
      <c r="K96" s="2" t="s">
        <v>258</v>
      </c>
      <c r="L96" s="2" t="s">
        <v>62</v>
      </c>
      <c r="M96" s="2" t="s">
        <v>259</v>
      </c>
      <c r="N96" s="2" t="s">
        <v>260</v>
      </c>
      <c r="O96" s="12">
        <v>6</v>
      </c>
      <c r="P96" s="12">
        <v>3500</v>
      </c>
      <c r="Q96" s="13">
        <v>10</v>
      </c>
      <c r="R96" s="1">
        <v>5</v>
      </c>
      <c r="S96" s="4">
        <v>19845</v>
      </c>
      <c r="T96" s="4" t="s">
        <v>94</v>
      </c>
      <c r="U96" s="2" t="s">
        <v>137</v>
      </c>
      <c r="V96" s="2" t="s">
        <v>95</v>
      </c>
    </row>
    <row r="97" spans="1:22" x14ac:dyDescent="0.35">
      <c r="A97" s="5" t="s">
        <v>516</v>
      </c>
      <c r="B97" s="10">
        <v>45319</v>
      </c>
      <c r="C97" s="6" t="s">
        <v>1768</v>
      </c>
      <c r="D97" s="6" t="s">
        <v>517</v>
      </c>
      <c r="E97" s="6" t="s">
        <v>518</v>
      </c>
      <c r="F97" s="6" t="s">
        <v>519</v>
      </c>
      <c r="G97" s="6" t="s">
        <v>315</v>
      </c>
      <c r="H97" s="5" t="s">
        <v>256</v>
      </c>
      <c r="I97" s="5" t="s">
        <v>24</v>
      </c>
      <c r="J97" s="5" t="s">
        <v>25</v>
      </c>
      <c r="K97" s="6" t="s">
        <v>26</v>
      </c>
      <c r="L97" s="6" t="s">
        <v>27</v>
      </c>
      <c r="M97" s="6" t="s">
        <v>28</v>
      </c>
      <c r="N97" s="6" t="s">
        <v>29</v>
      </c>
      <c r="O97" s="12">
        <v>8</v>
      </c>
      <c r="P97" s="12">
        <v>450</v>
      </c>
      <c r="Q97" s="14">
        <v>20</v>
      </c>
      <c r="R97" s="5">
        <v>5</v>
      </c>
      <c r="S97" s="4">
        <v>3024</v>
      </c>
      <c r="T97" s="4" t="s">
        <v>94</v>
      </c>
      <c r="U97" s="3" t="s">
        <v>116</v>
      </c>
      <c r="V97" s="2" t="s">
        <v>138</v>
      </c>
    </row>
    <row r="98" spans="1:22" x14ac:dyDescent="0.35">
      <c r="A98" s="5" t="s">
        <v>520</v>
      </c>
      <c r="B98" s="10">
        <v>45328</v>
      </c>
      <c r="C98" s="6" t="s">
        <v>56</v>
      </c>
      <c r="D98" s="6" t="s">
        <v>521</v>
      </c>
      <c r="E98" s="6" t="s">
        <v>522</v>
      </c>
      <c r="F98" s="6" t="s">
        <v>523</v>
      </c>
      <c r="G98" s="6" t="s">
        <v>166</v>
      </c>
      <c r="H98" s="5" t="s">
        <v>167</v>
      </c>
      <c r="I98" s="5" t="s">
        <v>71</v>
      </c>
      <c r="J98" s="5" t="s">
        <v>242</v>
      </c>
      <c r="K98" s="6" t="s">
        <v>243</v>
      </c>
      <c r="L98" s="6" t="s">
        <v>84</v>
      </c>
      <c r="M98" s="6" t="s">
        <v>244</v>
      </c>
      <c r="N98" s="6" t="s">
        <v>245</v>
      </c>
      <c r="O98" s="12">
        <v>9</v>
      </c>
      <c r="P98" s="12">
        <v>3200</v>
      </c>
      <c r="Q98" s="13">
        <v>8</v>
      </c>
      <c r="R98" s="5">
        <v>18</v>
      </c>
      <c r="S98" s="4">
        <v>31265.279999999999</v>
      </c>
      <c r="T98" s="4" t="s">
        <v>294</v>
      </c>
      <c r="U98" s="6" t="s">
        <v>87</v>
      </c>
      <c r="V98" s="2" t="s">
        <v>138</v>
      </c>
    </row>
    <row r="99" spans="1:22" x14ac:dyDescent="0.35">
      <c r="A99" s="1" t="s">
        <v>524</v>
      </c>
      <c r="B99" s="10">
        <v>45395</v>
      </c>
      <c r="C99" s="2" t="s">
        <v>525</v>
      </c>
      <c r="D99" s="2" t="s">
        <v>526</v>
      </c>
      <c r="E99" s="2" t="s">
        <v>527</v>
      </c>
      <c r="F99" s="2" t="s">
        <v>528</v>
      </c>
      <c r="G99" s="2" t="s">
        <v>109</v>
      </c>
      <c r="H99" s="1" t="s">
        <v>48</v>
      </c>
      <c r="I99" s="1" t="s">
        <v>24</v>
      </c>
      <c r="J99" s="1" t="s">
        <v>172</v>
      </c>
      <c r="K99" s="2" t="s">
        <v>173</v>
      </c>
      <c r="L99" s="2" t="s">
        <v>84</v>
      </c>
      <c r="M99" s="2" t="s">
        <v>174</v>
      </c>
      <c r="N99" s="2" t="s">
        <v>175</v>
      </c>
      <c r="O99" s="12">
        <v>1</v>
      </c>
      <c r="P99" s="12">
        <v>299</v>
      </c>
      <c r="Q99" s="14">
        <v>10</v>
      </c>
      <c r="R99" s="1">
        <v>18</v>
      </c>
      <c r="S99" s="4">
        <v>317.53800000000001</v>
      </c>
      <c r="T99" s="4" t="s">
        <v>294</v>
      </c>
      <c r="U99" s="3" t="s">
        <v>137</v>
      </c>
      <c r="V99" s="2" t="s">
        <v>95</v>
      </c>
    </row>
    <row r="100" spans="1:22" x14ac:dyDescent="0.35">
      <c r="A100" s="5" t="s">
        <v>529</v>
      </c>
      <c r="B100" s="10">
        <v>45444</v>
      </c>
      <c r="C100" s="6" t="s">
        <v>197</v>
      </c>
      <c r="D100" s="6" t="s">
        <v>530</v>
      </c>
      <c r="E100" s="6" t="s">
        <v>531</v>
      </c>
      <c r="F100" s="6" t="s">
        <v>532</v>
      </c>
      <c r="G100" s="6" t="s">
        <v>237</v>
      </c>
      <c r="H100" s="5" t="s">
        <v>23</v>
      </c>
      <c r="I100" s="5" t="s">
        <v>24</v>
      </c>
      <c r="J100" s="5" t="s">
        <v>266</v>
      </c>
      <c r="K100" s="6" t="s">
        <v>267</v>
      </c>
      <c r="L100" s="6" t="s">
        <v>51</v>
      </c>
      <c r="M100" s="6" t="s">
        <v>63</v>
      </c>
      <c r="N100" s="6" t="s">
        <v>268</v>
      </c>
      <c r="O100" s="12">
        <v>2</v>
      </c>
      <c r="P100" s="12">
        <v>8500</v>
      </c>
      <c r="Q100" s="13">
        <v>10</v>
      </c>
      <c r="R100" s="5">
        <v>18</v>
      </c>
      <c r="S100" s="4">
        <v>18054</v>
      </c>
      <c r="T100" s="4" t="s">
        <v>94</v>
      </c>
      <c r="U100" s="3" t="s">
        <v>30</v>
      </c>
      <c r="V100" s="2" t="s">
        <v>95</v>
      </c>
    </row>
    <row r="101" spans="1:22" x14ac:dyDescent="0.35">
      <c r="A101" s="1" t="s">
        <v>533</v>
      </c>
      <c r="B101" s="10">
        <v>45469</v>
      </c>
      <c r="C101" s="2" t="s">
        <v>1773</v>
      </c>
      <c r="D101" s="2" t="s">
        <v>534</v>
      </c>
      <c r="E101" s="2" t="s">
        <v>360</v>
      </c>
      <c r="F101" s="2" t="s">
        <v>535</v>
      </c>
      <c r="G101" s="2" t="s">
        <v>349</v>
      </c>
      <c r="H101" s="1" t="s">
        <v>209</v>
      </c>
      <c r="I101" s="1" t="s">
        <v>210</v>
      </c>
      <c r="J101" s="1" t="s">
        <v>172</v>
      </c>
      <c r="K101" s="2" t="s">
        <v>173</v>
      </c>
      <c r="L101" s="2" t="s">
        <v>84</v>
      </c>
      <c r="M101" s="2" t="s">
        <v>174</v>
      </c>
      <c r="N101" s="2" t="s">
        <v>175</v>
      </c>
      <c r="O101" s="12">
        <v>6</v>
      </c>
      <c r="P101" s="12">
        <v>299</v>
      </c>
      <c r="Q101" s="14">
        <v>20</v>
      </c>
      <c r="R101" s="1">
        <v>18</v>
      </c>
      <c r="S101" s="4">
        <v>1693.5360000000001</v>
      </c>
      <c r="T101" s="4" t="s">
        <v>65</v>
      </c>
      <c r="U101" s="3" t="s">
        <v>137</v>
      </c>
      <c r="V101" s="2" t="s">
        <v>138</v>
      </c>
    </row>
    <row r="102" spans="1:22" x14ac:dyDescent="0.35">
      <c r="A102" s="5" t="s">
        <v>536</v>
      </c>
      <c r="B102" s="10">
        <v>45349</v>
      </c>
      <c r="C102" s="6" t="s">
        <v>537</v>
      </c>
      <c r="D102" s="6" t="s">
        <v>538</v>
      </c>
      <c r="E102" s="6" t="s">
        <v>539</v>
      </c>
      <c r="F102" s="6" t="s">
        <v>540</v>
      </c>
      <c r="G102" s="6" t="s">
        <v>349</v>
      </c>
      <c r="H102" s="5" t="s">
        <v>209</v>
      </c>
      <c r="I102" s="5" t="s">
        <v>210</v>
      </c>
      <c r="J102" s="5" t="s">
        <v>184</v>
      </c>
      <c r="K102" s="6" t="s">
        <v>185</v>
      </c>
      <c r="L102" s="6" t="s">
        <v>51</v>
      </c>
      <c r="M102" s="6" t="s">
        <v>186</v>
      </c>
      <c r="N102" s="6" t="s">
        <v>74</v>
      </c>
      <c r="O102" s="12">
        <v>8</v>
      </c>
      <c r="P102" s="12">
        <v>35000</v>
      </c>
      <c r="Q102" s="13">
        <v>8</v>
      </c>
      <c r="R102" s="5">
        <v>18</v>
      </c>
      <c r="S102" s="4">
        <v>303968</v>
      </c>
      <c r="T102" s="4" t="s">
        <v>1794</v>
      </c>
      <c r="U102" s="6" t="s">
        <v>137</v>
      </c>
      <c r="V102" s="2" t="s">
        <v>138</v>
      </c>
    </row>
    <row r="103" spans="1:22" x14ac:dyDescent="0.35">
      <c r="A103" s="1" t="s">
        <v>541</v>
      </c>
      <c r="B103" s="10">
        <v>45322</v>
      </c>
      <c r="C103" s="2" t="s">
        <v>1780</v>
      </c>
      <c r="D103" s="2" t="s">
        <v>542</v>
      </c>
      <c r="E103" s="2" t="s">
        <v>321</v>
      </c>
      <c r="F103" s="2" t="s">
        <v>543</v>
      </c>
      <c r="G103" s="2" t="s">
        <v>70</v>
      </c>
      <c r="H103" s="1" t="s">
        <v>70</v>
      </c>
      <c r="I103" s="1" t="s">
        <v>71</v>
      </c>
      <c r="J103" s="1" t="s">
        <v>342</v>
      </c>
      <c r="K103" s="2" t="s">
        <v>343</v>
      </c>
      <c r="L103" s="2" t="s">
        <v>84</v>
      </c>
      <c r="M103" s="2" t="s">
        <v>244</v>
      </c>
      <c r="N103" s="2" t="s">
        <v>344</v>
      </c>
      <c r="O103" s="12">
        <v>1</v>
      </c>
      <c r="P103" s="12">
        <v>2200</v>
      </c>
      <c r="Q103" s="14">
        <v>10</v>
      </c>
      <c r="R103" s="1">
        <v>12</v>
      </c>
      <c r="S103" s="4">
        <v>2217.6000000000004</v>
      </c>
      <c r="T103" s="4" t="s">
        <v>1793</v>
      </c>
      <c r="U103" s="2" t="s">
        <v>87</v>
      </c>
      <c r="V103" s="2" t="s">
        <v>95</v>
      </c>
    </row>
    <row r="104" spans="1:22" x14ac:dyDescent="0.35">
      <c r="A104" s="5" t="s">
        <v>544</v>
      </c>
      <c r="B104" s="10">
        <v>45307</v>
      </c>
      <c r="C104" s="6" t="s">
        <v>1767</v>
      </c>
      <c r="D104" s="6" t="s">
        <v>545</v>
      </c>
      <c r="E104" s="6" t="s">
        <v>477</v>
      </c>
      <c r="F104" s="6" t="s">
        <v>546</v>
      </c>
      <c r="G104" s="6" t="s">
        <v>349</v>
      </c>
      <c r="H104" s="5" t="s">
        <v>209</v>
      </c>
      <c r="I104" s="5" t="s">
        <v>210</v>
      </c>
      <c r="J104" s="5" t="s">
        <v>158</v>
      </c>
      <c r="K104" s="6" t="s">
        <v>159</v>
      </c>
      <c r="L104" s="6" t="s">
        <v>62</v>
      </c>
      <c r="M104" s="6" t="s">
        <v>160</v>
      </c>
      <c r="N104" s="6" t="s">
        <v>161</v>
      </c>
      <c r="O104" s="12">
        <v>10</v>
      </c>
      <c r="P104" s="12">
        <v>2500</v>
      </c>
      <c r="Q104" s="13">
        <v>12</v>
      </c>
      <c r="R104" s="5">
        <v>5</v>
      </c>
      <c r="S104" s="4">
        <v>23100</v>
      </c>
      <c r="T104" s="4" t="s">
        <v>94</v>
      </c>
      <c r="U104" s="6" t="s">
        <v>116</v>
      </c>
      <c r="V104" s="2" t="s">
        <v>138</v>
      </c>
    </row>
    <row r="105" spans="1:22" x14ac:dyDescent="0.35">
      <c r="A105" s="1" t="s">
        <v>547</v>
      </c>
      <c r="B105" s="10">
        <v>45315</v>
      </c>
      <c r="C105" s="2" t="s">
        <v>1784</v>
      </c>
      <c r="D105" s="2" t="s">
        <v>548</v>
      </c>
      <c r="E105" s="2" t="s">
        <v>443</v>
      </c>
      <c r="F105" s="2" t="s">
        <v>549</v>
      </c>
      <c r="G105" s="2" t="s">
        <v>550</v>
      </c>
      <c r="H105" s="1" t="s">
        <v>37</v>
      </c>
      <c r="I105" s="1" t="s">
        <v>38</v>
      </c>
      <c r="J105" s="1" t="s">
        <v>300</v>
      </c>
      <c r="K105" s="2" t="s">
        <v>301</v>
      </c>
      <c r="L105" s="2" t="s">
        <v>62</v>
      </c>
      <c r="M105" s="2" t="s">
        <v>302</v>
      </c>
      <c r="N105" s="2" t="s">
        <v>303</v>
      </c>
      <c r="O105" s="12">
        <v>7</v>
      </c>
      <c r="P105" s="12">
        <v>4800</v>
      </c>
      <c r="Q105" s="14">
        <v>12</v>
      </c>
      <c r="R105" s="1">
        <v>18</v>
      </c>
      <c r="S105" s="4">
        <v>34890.239999999998</v>
      </c>
      <c r="T105" s="4" t="s">
        <v>65</v>
      </c>
      <c r="U105" s="3" t="s">
        <v>137</v>
      </c>
      <c r="V105" s="2" t="s">
        <v>95</v>
      </c>
    </row>
    <row r="106" spans="1:22" x14ac:dyDescent="0.35">
      <c r="A106" s="5" t="s">
        <v>551</v>
      </c>
      <c r="B106" s="10">
        <v>45408</v>
      </c>
      <c r="C106" s="6" t="s">
        <v>1785</v>
      </c>
      <c r="D106" s="6" t="s">
        <v>552</v>
      </c>
      <c r="E106" s="6" t="s">
        <v>553</v>
      </c>
      <c r="F106" s="6" t="s">
        <v>554</v>
      </c>
      <c r="G106" s="6" t="s">
        <v>109</v>
      </c>
      <c r="H106" s="5" t="s">
        <v>48</v>
      </c>
      <c r="I106" s="5" t="s">
        <v>24</v>
      </c>
      <c r="J106" s="5" t="s">
        <v>434</v>
      </c>
      <c r="K106" s="6" t="s">
        <v>435</v>
      </c>
      <c r="L106" s="6" t="s">
        <v>62</v>
      </c>
      <c r="M106" s="6" t="s">
        <v>160</v>
      </c>
      <c r="N106" s="6" t="s">
        <v>436</v>
      </c>
      <c r="O106" s="12">
        <v>10</v>
      </c>
      <c r="P106" s="12">
        <v>1200</v>
      </c>
      <c r="Q106" s="13">
        <v>0</v>
      </c>
      <c r="R106" s="5">
        <v>5</v>
      </c>
      <c r="S106" s="4">
        <v>12600</v>
      </c>
      <c r="T106" s="4" t="s">
        <v>94</v>
      </c>
      <c r="U106" s="6" t="s">
        <v>116</v>
      </c>
      <c r="V106" s="2" t="s">
        <v>95</v>
      </c>
    </row>
    <row r="107" spans="1:22" x14ac:dyDescent="0.35">
      <c r="A107" s="5" t="s">
        <v>555</v>
      </c>
      <c r="B107" s="10">
        <v>45424</v>
      </c>
      <c r="C107" s="6" t="s">
        <v>1776</v>
      </c>
      <c r="D107" s="6" t="s">
        <v>556</v>
      </c>
      <c r="E107" s="6" t="s">
        <v>352</v>
      </c>
      <c r="F107" s="6" t="s">
        <v>557</v>
      </c>
      <c r="G107" s="6" t="s">
        <v>349</v>
      </c>
      <c r="H107" s="5" t="s">
        <v>209</v>
      </c>
      <c r="I107" s="5" t="s">
        <v>210</v>
      </c>
      <c r="J107" s="5" t="s">
        <v>133</v>
      </c>
      <c r="K107" s="6" t="s">
        <v>134</v>
      </c>
      <c r="L107" s="6" t="s">
        <v>51</v>
      </c>
      <c r="M107" s="6" t="s">
        <v>135</v>
      </c>
      <c r="N107" s="6" t="s">
        <v>136</v>
      </c>
      <c r="O107" s="12">
        <v>3</v>
      </c>
      <c r="P107" s="12">
        <v>55000</v>
      </c>
      <c r="Q107" s="14">
        <v>20</v>
      </c>
      <c r="R107" s="5">
        <v>18</v>
      </c>
      <c r="S107" s="4">
        <v>155760</v>
      </c>
      <c r="T107" s="4" t="s">
        <v>65</v>
      </c>
      <c r="U107" s="3" t="s">
        <v>116</v>
      </c>
      <c r="V107" s="2" t="s">
        <v>95</v>
      </c>
    </row>
    <row r="108" spans="1:22" x14ac:dyDescent="0.35">
      <c r="A108" s="1" t="s">
        <v>558</v>
      </c>
      <c r="B108" s="10">
        <v>45346</v>
      </c>
      <c r="C108" s="2" t="s">
        <v>1767</v>
      </c>
      <c r="D108" s="2" t="s">
        <v>559</v>
      </c>
      <c r="E108" s="2" t="s">
        <v>560</v>
      </c>
      <c r="F108" s="2" t="s">
        <v>561</v>
      </c>
      <c r="G108" s="2" t="s">
        <v>315</v>
      </c>
      <c r="H108" s="1" t="s">
        <v>256</v>
      </c>
      <c r="I108" s="1" t="s">
        <v>24</v>
      </c>
      <c r="J108" s="1" t="s">
        <v>25</v>
      </c>
      <c r="K108" s="2" t="s">
        <v>26</v>
      </c>
      <c r="L108" s="2" t="s">
        <v>27</v>
      </c>
      <c r="M108" s="2" t="s">
        <v>28</v>
      </c>
      <c r="N108" s="2" t="s">
        <v>29</v>
      </c>
      <c r="O108" s="12">
        <v>5</v>
      </c>
      <c r="P108" s="12">
        <v>450</v>
      </c>
      <c r="Q108" s="13">
        <v>8</v>
      </c>
      <c r="R108" s="1">
        <v>5</v>
      </c>
      <c r="S108" s="4">
        <v>2173.5</v>
      </c>
      <c r="T108" s="4" t="s">
        <v>65</v>
      </c>
      <c r="U108" s="3" t="s">
        <v>137</v>
      </c>
      <c r="V108" s="2" t="s">
        <v>95</v>
      </c>
    </row>
    <row r="109" spans="1:22" x14ac:dyDescent="0.35">
      <c r="A109" s="5" t="s">
        <v>562</v>
      </c>
      <c r="B109" s="10">
        <v>45424</v>
      </c>
      <c r="C109" s="6" t="s">
        <v>1774</v>
      </c>
      <c r="D109" s="6" t="s">
        <v>563</v>
      </c>
      <c r="E109" s="6" t="s">
        <v>281</v>
      </c>
      <c r="F109" s="6" t="s">
        <v>564</v>
      </c>
      <c r="G109" s="6" t="s">
        <v>315</v>
      </c>
      <c r="H109" s="5" t="s">
        <v>256</v>
      </c>
      <c r="I109" s="5" t="s">
        <v>24</v>
      </c>
      <c r="J109" s="5" t="s">
        <v>60</v>
      </c>
      <c r="K109" s="6" t="s">
        <v>61</v>
      </c>
      <c r="L109" s="6" t="s">
        <v>62</v>
      </c>
      <c r="M109" s="6" t="s">
        <v>63</v>
      </c>
      <c r="N109" s="6" t="s">
        <v>64</v>
      </c>
      <c r="O109" s="12">
        <v>4</v>
      </c>
      <c r="P109" s="12">
        <v>3500</v>
      </c>
      <c r="Q109" s="14">
        <v>12</v>
      </c>
      <c r="R109" s="5">
        <v>18</v>
      </c>
      <c r="S109" s="4">
        <v>14537.599999999999</v>
      </c>
      <c r="T109" s="4" t="s">
        <v>54</v>
      </c>
      <c r="U109" s="6" t="s">
        <v>195</v>
      </c>
      <c r="V109" s="2" t="s">
        <v>95</v>
      </c>
    </row>
    <row r="110" spans="1:22" x14ac:dyDescent="0.35">
      <c r="A110" s="1" t="s">
        <v>565</v>
      </c>
      <c r="B110" s="10">
        <v>45295</v>
      </c>
      <c r="C110" s="2" t="s">
        <v>262</v>
      </c>
      <c r="D110" s="2" t="s">
        <v>566</v>
      </c>
      <c r="E110" s="2" t="s">
        <v>306</v>
      </c>
      <c r="F110" s="2" t="s">
        <v>567</v>
      </c>
      <c r="G110" s="2" t="s">
        <v>150</v>
      </c>
      <c r="H110" s="1" t="s">
        <v>93</v>
      </c>
      <c r="I110" s="1" t="s">
        <v>38</v>
      </c>
      <c r="J110" s="1" t="s">
        <v>25</v>
      </c>
      <c r="K110" s="2" t="s">
        <v>26</v>
      </c>
      <c r="L110" s="2" t="s">
        <v>27</v>
      </c>
      <c r="M110" s="2" t="s">
        <v>28</v>
      </c>
      <c r="N110" s="2" t="s">
        <v>29</v>
      </c>
      <c r="O110" s="12">
        <v>6</v>
      </c>
      <c r="P110" s="12">
        <v>450</v>
      </c>
      <c r="Q110" s="13">
        <v>15</v>
      </c>
      <c r="R110" s="1">
        <v>5</v>
      </c>
      <c r="S110" s="4">
        <v>2409.75</v>
      </c>
      <c r="T110" s="4" t="s">
        <v>94</v>
      </c>
      <c r="U110" s="2" t="s">
        <v>137</v>
      </c>
      <c r="V110" s="2" t="s">
        <v>138</v>
      </c>
    </row>
    <row r="111" spans="1:22" x14ac:dyDescent="0.35">
      <c r="A111" s="5" t="s">
        <v>568</v>
      </c>
      <c r="B111" s="10">
        <v>45371</v>
      </c>
      <c r="C111" s="6" t="s">
        <v>1770</v>
      </c>
      <c r="D111" s="6" t="s">
        <v>569</v>
      </c>
      <c r="E111" s="6" t="s">
        <v>123</v>
      </c>
      <c r="F111" s="6" t="s">
        <v>570</v>
      </c>
      <c r="G111" s="6" t="s">
        <v>109</v>
      </c>
      <c r="H111" s="5" t="s">
        <v>48</v>
      </c>
      <c r="I111" s="5" t="s">
        <v>24</v>
      </c>
      <c r="J111" s="5" t="s">
        <v>266</v>
      </c>
      <c r="K111" s="6" t="s">
        <v>267</v>
      </c>
      <c r="L111" s="6" t="s">
        <v>62</v>
      </c>
      <c r="M111" s="6" t="s">
        <v>63</v>
      </c>
      <c r="N111" s="6" t="s">
        <v>268</v>
      </c>
      <c r="O111" s="12">
        <v>5</v>
      </c>
      <c r="P111" s="12">
        <v>8500</v>
      </c>
      <c r="Q111" s="14">
        <v>15</v>
      </c>
      <c r="R111" s="5">
        <v>18</v>
      </c>
      <c r="S111" s="4">
        <v>42627.5</v>
      </c>
      <c r="T111" s="4" t="s">
        <v>54</v>
      </c>
      <c r="U111" s="3" t="s">
        <v>30</v>
      </c>
      <c r="V111" s="2" t="s">
        <v>138</v>
      </c>
    </row>
    <row r="112" spans="1:22" x14ac:dyDescent="0.35">
      <c r="A112" s="1" t="s">
        <v>571</v>
      </c>
      <c r="B112" s="10">
        <v>45377</v>
      </c>
      <c r="C112" s="2" t="s">
        <v>1764</v>
      </c>
      <c r="D112" s="2" t="s">
        <v>572</v>
      </c>
      <c r="E112" s="2" t="s">
        <v>21</v>
      </c>
      <c r="F112" s="2" t="s">
        <v>573</v>
      </c>
      <c r="G112" s="2" t="s">
        <v>237</v>
      </c>
      <c r="H112" s="1" t="s">
        <v>23</v>
      </c>
      <c r="I112" s="1" t="s">
        <v>24</v>
      </c>
      <c r="J112" s="1" t="s">
        <v>143</v>
      </c>
      <c r="K112" s="2" t="s">
        <v>144</v>
      </c>
      <c r="L112" s="2" t="s">
        <v>51</v>
      </c>
      <c r="M112" s="2" t="s">
        <v>52</v>
      </c>
      <c r="N112" s="2" t="s">
        <v>145</v>
      </c>
      <c r="O112" s="12">
        <v>3</v>
      </c>
      <c r="P112" s="12">
        <v>89000</v>
      </c>
      <c r="Q112" s="13">
        <v>12</v>
      </c>
      <c r="R112" s="1">
        <v>18</v>
      </c>
      <c r="S112" s="4">
        <v>277252.8</v>
      </c>
      <c r="T112" s="4" t="s">
        <v>1794</v>
      </c>
      <c r="U112" s="2" t="s">
        <v>87</v>
      </c>
      <c r="V112" s="2" t="s">
        <v>95</v>
      </c>
    </row>
    <row r="113" spans="1:22" x14ac:dyDescent="0.35">
      <c r="A113" s="5" t="s">
        <v>574</v>
      </c>
      <c r="B113" s="10">
        <v>45330</v>
      </c>
      <c r="C113" s="6" t="s">
        <v>346</v>
      </c>
      <c r="D113" s="6" t="s">
        <v>575</v>
      </c>
      <c r="E113" s="6" t="s">
        <v>576</v>
      </c>
      <c r="F113" s="6" t="s">
        <v>577</v>
      </c>
      <c r="G113" s="6" t="s">
        <v>150</v>
      </c>
      <c r="H113" s="5" t="s">
        <v>93</v>
      </c>
      <c r="I113" s="5" t="s">
        <v>38</v>
      </c>
      <c r="J113" s="5" t="s">
        <v>125</v>
      </c>
      <c r="K113" s="6" t="s">
        <v>126</v>
      </c>
      <c r="L113" s="6" t="s">
        <v>27</v>
      </c>
      <c r="M113" s="6" t="s">
        <v>127</v>
      </c>
      <c r="N113" s="6" t="s">
        <v>128</v>
      </c>
      <c r="O113" s="12">
        <v>2</v>
      </c>
      <c r="P113" s="12">
        <v>50</v>
      </c>
      <c r="Q113" s="14">
        <v>0</v>
      </c>
      <c r="R113" s="5">
        <v>5</v>
      </c>
      <c r="S113" s="4">
        <v>105</v>
      </c>
      <c r="T113" s="4" t="s">
        <v>65</v>
      </c>
      <c r="U113" s="3" t="s">
        <v>137</v>
      </c>
      <c r="V113" s="2" t="s">
        <v>138</v>
      </c>
    </row>
    <row r="114" spans="1:22" x14ac:dyDescent="0.35">
      <c r="A114" s="1" t="s">
        <v>578</v>
      </c>
      <c r="B114" s="10">
        <v>45314</v>
      </c>
      <c r="C114" s="2" t="s">
        <v>1782</v>
      </c>
      <c r="D114" s="2" t="s">
        <v>579</v>
      </c>
      <c r="E114" s="2" t="s">
        <v>34</v>
      </c>
      <c r="F114" s="2" t="s">
        <v>580</v>
      </c>
      <c r="G114" s="2" t="s">
        <v>550</v>
      </c>
      <c r="H114" s="1" t="s">
        <v>37</v>
      </c>
      <c r="I114" s="1" t="s">
        <v>38</v>
      </c>
      <c r="J114" s="1" t="s">
        <v>242</v>
      </c>
      <c r="K114" s="2" t="s">
        <v>243</v>
      </c>
      <c r="L114" s="2" t="s">
        <v>84</v>
      </c>
      <c r="M114" s="2" t="s">
        <v>244</v>
      </c>
      <c r="N114" s="2" t="s">
        <v>245</v>
      </c>
      <c r="O114" s="12">
        <v>2</v>
      </c>
      <c r="P114" s="12">
        <v>3200</v>
      </c>
      <c r="Q114" s="13">
        <v>0</v>
      </c>
      <c r="R114" s="1">
        <v>18</v>
      </c>
      <c r="S114" s="4">
        <v>7552</v>
      </c>
      <c r="T114" s="4" t="s">
        <v>1794</v>
      </c>
      <c r="U114" s="2" t="s">
        <v>195</v>
      </c>
      <c r="V114" s="2" t="s">
        <v>95</v>
      </c>
    </row>
    <row r="115" spans="1:22" x14ac:dyDescent="0.35">
      <c r="A115" s="5" t="s">
        <v>581</v>
      </c>
      <c r="B115" s="10">
        <v>45460</v>
      </c>
      <c r="C115" s="6" t="s">
        <v>1773</v>
      </c>
      <c r="D115" s="6" t="s">
        <v>582</v>
      </c>
      <c r="E115" s="6" t="s">
        <v>583</v>
      </c>
      <c r="F115" s="6" t="s">
        <v>584</v>
      </c>
      <c r="G115" s="6" t="s">
        <v>550</v>
      </c>
      <c r="H115" s="5" t="s">
        <v>37</v>
      </c>
      <c r="I115" s="5" t="s">
        <v>38</v>
      </c>
      <c r="J115" s="5" t="s">
        <v>60</v>
      </c>
      <c r="K115" s="6" t="s">
        <v>61</v>
      </c>
      <c r="L115" s="6" t="s">
        <v>62</v>
      </c>
      <c r="M115" s="6" t="s">
        <v>63</v>
      </c>
      <c r="N115" s="6" t="s">
        <v>64</v>
      </c>
      <c r="O115" s="12">
        <v>9</v>
      </c>
      <c r="P115" s="12">
        <v>0</v>
      </c>
      <c r="Q115" s="14">
        <v>10</v>
      </c>
      <c r="R115" s="5">
        <v>18</v>
      </c>
      <c r="S115" s="4">
        <v>0</v>
      </c>
      <c r="T115" s="4" t="s">
        <v>1793</v>
      </c>
      <c r="U115" s="3" t="s">
        <v>137</v>
      </c>
      <c r="V115" s="2" t="s">
        <v>95</v>
      </c>
    </row>
    <row r="116" spans="1:22" x14ac:dyDescent="0.35">
      <c r="A116" s="1" t="s">
        <v>585</v>
      </c>
      <c r="B116" s="10">
        <v>45403</v>
      </c>
      <c r="C116" s="2" t="s">
        <v>1782</v>
      </c>
      <c r="D116" s="2" t="s">
        <v>586</v>
      </c>
      <c r="E116" s="2" t="s">
        <v>587</v>
      </c>
      <c r="F116" s="2" t="s">
        <v>588</v>
      </c>
      <c r="G116" s="2" t="s">
        <v>150</v>
      </c>
      <c r="H116" s="1" t="s">
        <v>93</v>
      </c>
      <c r="I116" s="1" t="s">
        <v>38</v>
      </c>
      <c r="J116" s="1" t="s">
        <v>276</v>
      </c>
      <c r="K116" s="2" t="s">
        <v>277</v>
      </c>
      <c r="L116" s="2" t="s">
        <v>51</v>
      </c>
      <c r="M116" s="2" t="s">
        <v>102</v>
      </c>
      <c r="N116" s="2" t="s">
        <v>278</v>
      </c>
      <c r="O116" s="12">
        <v>9</v>
      </c>
      <c r="P116" s="12">
        <v>1500</v>
      </c>
      <c r="Q116" s="13">
        <v>5</v>
      </c>
      <c r="R116" s="1">
        <v>18</v>
      </c>
      <c r="S116" s="4">
        <v>15133.5</v>
      </c>
      <c r="T116" s="4" t="s">
        <v>294</v>
      </c>
      <c r="U116" s="3" t="s">
        <v>116</v>
      </c>
      <c r="V116" s="2" t="s">
        <v>95</v>
      </c>
    </row>
    <row r="117" spans="1:22" x14ac:dyDescent="0.35">
      <c r="A117" s="5" t="s">
        <v>589</v>
      </c>
      <c r="B117" s="10">
        <v>45332</v>
      </c>
      <c r="C117" s="6" t="s">
        <v>1784</v>
      </c>
      <c r="D117" s="6" t="s">
        <v>590</v>
      </c>
      <c r="E117" s="6" t="s">
        <v>591</v>
      </c>
      <c r="F117" s="3" t="s">
        <v>1789</v>
      </c>
      <c r="G117" s="3" t="s">
        <v>166</v>
      </c>
      <c r="H117" s="5" t="s">
        <v>167</v>
      </c>
      <c r="I117" s="5" t="s">
        <v>71</v>
      </c>
      <c r="J117" s="5" t="s">
        <v>25</v>
      </c>
      <c r="K117" s="6" t="s">
        <v>26</v>
      </c>
      <c r="L117" s="6" t="s">
        <v>27</v>
      </c>
      <c r="M117" s="6" t="s">
        <v>28</v>
      </c>
      <c r="N117" s="6" t="s">
        <v>29</v>
      </c>
      <c r="O117" s="12">
        <v>3</v>
      </c>
      <c r="P117" s="12">
        <v>450</v>
      </c>
      <c r="Q117" s="14">
        <v>15</v>
      </c>
      <c r="R117" s="5">
        <v>5</v>
      </c>
      <c r="S117" s="4">
        <v>1204.875</v>
      </c>
      <c r="T117" s="4" t="s">
        <v>1794</v>
      </c>
      <c r="U117" s="6" t="s">
        <v>87</v>
      </c>
      <c r="V117" s="2" t="s">
        <v>138</v>
      </c>
    </row>
    <row r="118" spans="1:22" x14ac:dyDescent="0.35">
      <c r="A118" s="1" t="s">
        <v>592</v>
      </c>
      <c r="B118" s="10">
        <v>45348</v>
      </c>
      <c r="C118" s="2" t="s">
        <v>1784</v>
      </c>
      <c r="D118" s="2" t="s">
        <v>593</v>
      </c>
      <c r="E118" s="2" t="s">
        <v>594</v>
      </c>
      <c r="F118" s="2" t="s">
        <v>595</v>
      </c>
      <c r="G118" s="2" t="s">
        <v>315</v>
      </c>
      <c r="H118" s="1" t="s">
        <v>256</v>
      </c>
      <c r="I118" s="1" t="s">
        <v>24</v>
      </c>
      <c r="J118" s="1" t="s">
        <v>25</v>
      </c>
      <c r="K118" s="2" t="s">
        <v>26</v>
      </c>
      <c r="L118" s="2" t="s">
        <v>27</v>
      </c>
      <c r="M118" s="2" t="s">
        <v>28</v>
      </c>
      <c r="N118" s="2" t="s">
        <v>29</v>
      </c>
      <c r="O118" s="12">
        <v>3</v>
      </c>
      <c r="P118" s="12">
        <v>450</v>
      </c>
      <c r="Q118" s="13">
        <v>10</v>
      </c>
      <c r="R118" s="1">
        <v>5</v>
      </c>
      <c r="S118" s="4">
        <v>1275.75</v>
      </c>
      <c r="T118" s="4" t="s">
        <v>94</v>
      </c>
      <c r="U118" s="2" t="s">
        <v>137</v>
      </c>
      <c r="V118" s="2" t="s">
        <v>95</v>
      </c>
    </row>
    <row r="119" spans="1:22" x14ac:dyDescent="0.35">
      <c r="A119" s="5" t="s">
        <v>596</v>
      </c>
      <c r="B119" s="10">
        <v>45389</v>
      </c>
      <c r="C119" s="6" t="s">
        <v>330</v>
      </c>
      <c r="D119" s="6" t="s">
        <v>597</v>
      </c>
      <c r="E119" s="6" t="s">
        <v>598</v>
      </c>
      <c r="F119" s="6" t="s">
        <v>599</v>
      </c>
      <c r="G119" s="6" t="s">
        <v>109</v>
      </c>
      <c r="H119" s="5" t="s">
        <v>48</v>
      </c>
      <c r="I119" s="5" t="s">
        <v>24</v>
      </c>
      <c r="J119" s="5" t="s">
        <v>354</v>
      </c>
      <c r="K119" s="6" t="s">
        <v>355</v>
      </c>
      <c r="L119" s="6" t="s">
        <v>51</v>
      </c>
      <c r="M119" s="6" t="s">
        <v>356</v>
      </c>
      <c r="N119" s="6" t="s">
        <v>357</v>
      </c>
      <c r="O119" s="12">
        <v>2</v>
      </c>
      <c r="P119" s="12">
        <v>4500</v>
      </c>
      <c r="Q119" s="14">
        <v>25</v>
      </c>
      <c r="R119" s="5">
        <v>5</v>
      </c>
      <c r="S119" s="4">
        <v>7087.5</v>
      </c>
      <c r="T119" s="4" t="s">
        <v>294</v>
      </c>
      <c r="U119" s="3" t="s">
        <v>137</v>
      </c>
      <c r="V119" s="2" t="s">
        <v>95</v>
      </c>
    </row>
    <row r="120" spans="1:22" x14ac:dyDescent="0.35">
      <c r="A120" s="1" t="s">
        <v>600</v>
      </c>
      <c r="B120" s="10">
        <v>45431</v>
      </c>
      <c r="C120" s="2" t="s">
        <v>76</v>
      </c>
      <c r="D120" s="2" t="s">
        <v>601</v>
      </c>
      <c r="E120" s="2" t="s">
        <v>78</v>
      </c>
      <c r="F120" s="2" t="s">
        <v>602</v>
      </c>
      <c r="G120" s="2" t="s">
        <v>150</v>
      </c>
      <c r="H120" s="1" t="s">
        <v>93</v>
      </c>
      <c r="I120" s="1" t="s">
        <v>38</v>
      </c>
      <c r="J120" s="1" t="s">
        <v>72</v>
      </c>
      <c r="K120" s="2" t="s">
        <v>73</v>
      </c>
      <c r="L120" s="2" t="s">
        <v>51</v>
      </c>
      <c r="M120" s="2" t="s">
        <v>52</v>
      </c>
      <c r="N120" s="2" t="s">
        <v>74</v>
      </c>
      <c r="O120" s="12">
        <v>1</v>
      </c>
      <c r="P120" s="12">
        <v>14000</v>
      </c>
      <c r="Q120" s="13">
        <v>10</v>
      </c>
      <c r="R120" s="1">
        <v>18</v>
      </c>
      <c r="S120" s="4">
        <v>14868</v>
      </c>
      <c r="T120" s="4" t="s">
        <v>294</v>
      </c>
      <c r="U120" s="3" t="s">
        <v>137</v>
      </c>
      <c r="V120" s="2" t="s">
        <v>95</v>
      </c>
    </row>
    <row r="121" spans="1:22" x14ac:dyDescent="0.35">
      <c r="A121" s="5" t="s">
        <v>603</v>
      </c>
      <c r="B121" s="10">
        <v>45382</v>
      </c>
      <c r="C121" s="6" t="s">
        <v>1775</v>
      </c>
      <c r="D121" s="6" t="s">
        <v>604</v>
      </c>
      <c r="E121" s="6" t="s">
        <v>183</v>
      </c>
      <c r="F121" s="6" t="s">
        <v>605</v>
      </c>
      <c r="G121" s="6" t="s">
        <v>166</v>
      </c>
      <c r="H121" s="5" t="s">
        <v>167</v>
      </c>
      <c r="I121" s="5" t="s">
        <v>71</v>
      </c>
      <c r="J121" s="5" t="s">
        <v>184</v>
      </c>
      <c r="K121" s="6" t="s">
        <v>185</v>
      </c>
      <c r="L121" s="6" t="s">
        <v>51</v>
      </c>
      <c r="M121" s="6" t="s">
        <v>186</v>
      </c>
      <c r="N121" s="6" t="s">
        <v>74</v>
      </c>
      <c r="O121" s="12">
        <v>9</v>
      </c>
      <c r="P121" s="12">
        <v>35000</v>
      </c>
      <c r="Q121" s="14">
        <v>10</v>
      </c>
      <c r="R121" s="5">
        <v>18</v>
      </c>
      <c r="S121" s="4">
        <v>334530</v>
      </c>
      <c r="T121" s="4" t="s">
        <v>1793</v>
      </c>
      <c r="U121" s="6" t="s">
        <v>30</v>
      </c>
      <c r="V121" s="2" t="s">
        <v>138</v>
      </c>
    </row>
    <row r="122" spans="1:22" x14ac:dyDescent="0.35">
      <c r="A122" s="5" t="s">
        <v>606</v>
      </c>
      <c r="B122" s="10">
        <v>45337</v>
      </c>
      <c r="C122" s="6" t="s">
        <v>458</v>
      </c>
      <c r="D122" s="6" t="s">
        <v>607</v>
      </c>
      <c r="E122" s="6" t="s">
        <v>34</v>
      </c>
      <c r="F122" s="6" t="s">
        <v>608</v>
      </c>
      <c r="G122" s="6" t="s">
        <v>237</v>
      </c>
      <c r="H122" s="5" t="s">
        <v>23</v>
      </c>
      <c r="I122" s="5" t="s">
        <v>24</v>
      </c>
      <c r="J122" s="5" t="s">
        <v>125</v>
      </c>
      <c r="K122" s="6" t="s">
        <v>126</v>
      </c>
      <c r="L122" s="6" t="s">
        <v>27</v>
      </c>
      <c r="M122" s="6" t="s">
        <v>127</v>
      </c>
      <c r="N122" s="6" t="s">
        <v>128</v>
      </c>
      <c r="O122" s="12">
        <v>8</v>
      </c>
      <c r="P122" s="12">
        <v>0</v>
      </c>
      <c r="Q122" s="13">
        <v>80</v>
      </c>
      <c r="R122" s="5">
        <v>5</v>
      </c>
      <c r="S122" s="4">
        <v>0</v>
      </c>
      <c r="T122" s="4" t="s">
        <v>294</v>
      </c>
      <c r="U122" s="6" t="s">
        <v>116</v>
      </c>
      <c r="V122" s="2" t="s">
        <v>95</v>
      </c>
    </row>
    <row r="123" spans="1:22" x14ac:dyDescent="0.35">
      <c r="A123" s="1" t="s">
        <v>609</v>
      </c>
      <c r="B123" s="10">
        <v>45462</v>
      </c>
      <c r="C123" s="2" t="s">
        <v>1764</v>
      </c>
      <c r="D123" s="2" t="s">
        <v>610</v>
      </c>
      <c r="E123" s="2" t="s">
        <v>611</v>
      </c>
      <c r="F123" s="2" t="s">
        <v>612</v>
      </c>
      <c r="G123" s="2" t="s">
        <v>70</v>
      </c>
      <c r="H123" s="1" t="s">
        <v>70</v>
      </c>
      <c r="I123" s="1" t="s">
        <v>71</v>
      </c>
      <c r="J123" s="1" t="s">
        <v>354</v>
      </c>
      <c r="K123" s="2" t="s">
        <v>355</v>
      </c>
      <c r="L123" s="2" t="s">
        <v>62</v>
      </c>
      <c r="M123" s="2" t="s">
        <v>356</v>
      </c>
      <c r="N123" s="2" t="s">
        <v>357</v>
      </c>
      <c r="O123" s="12">
        <v>5</v>
      </c>
      <c r="P123" s="12">
        <v>4500</v>
      </c>
      <c r="Q123" s="14">
        <v>25</v>
      </c>
      <c r="R123" s="1">
        <v>5</v>
      </c>
      <c r="S123" s="4">
        <v>17718.75</v>
      </c>
      <c r="T123" s="4" t="s">
        <v>294</v>
      </c>
      <c r="U123" s="3" t="s">
        <v>137</v>
      </c>
      <c r="V123" s="2" t="s">
        <v>95</v>
      </c>
    </row>
    <row r="124" spans="1:22" x14ac:dyDescent="0.35">
      <c r="A124" s="5" t="s">
        <v>613</v>
      </c>
      <c r="B124" s="10">
        <v>45406</v>
      </c>
      <c r="C124" s="6" t="s">
        <v>1786</v>
      </c>
      <c r="D124" s="6" t="s">
        <v>614</v>
      </c>
      <c r="E124" s="6" t="s">
        <v>615</v>
      </c>
      <c r="F124" s="6" t="s">
        <v>616</v>
      </c>
      <c r="G124" s="6" t="s">
        <v>230</v>
      </c>
      <c r="H124" s="5" t="s">
        <v>231</v>
      </c>
      <c r="I124" s="5" t="s">
        <v>24</v>
      </c>
      <c r="J124" s="5" t="s">
        <v>39</v>
      </c>
      <c r="K124" s="6" t="s">
        <v>40</v>
      </c>
      <c r="L124" s="6" t="s">
        <v>41</v>
      </c>
      <c r="M124" s="6" t="s">
        <v>42</v>
      </c>
      <c r="N124" s="6" t="s">
        <v>43</v>
      </c>
      <c r="O124" s="12">
        <v>10</v>
      </c>
      <c r="P124" s="12">
        <v>25000</v>
      </c>
      <c r="Q124" s="13">
        <v>5</v>
      </c>
      <c r="R124" s="5">
        <v>3</v>
      </c>
      <c r="S124" s="4">
        <v>244625</v>
      </c>
      <c r="T124" s="4" t="s">
        <v>94</v>
      </c>
      <c r="U124" s="3" t="s">
        <v>30</v>
      </c>
      <c r="V124" s="2" t="s">
        <v>95</v>
      </c>
    </row>
    <row r="125" spans="1:22" x14ac:dyDescent="0.35">
      <c r="A125" s="1" t="s">
        <v>617</v>
      </c>
      <c r="B125" s="10">
        <v>45358</v>
      </c>
      <c r="C125" s="2" t="s">
        <v>1774</v>
      </c>
      <c r="D125" s="2" t="s">
        <v>618</v>
      </c>
      <c r="E125" s="2" t="s">
        <v>619</v>
      </c>
      <c r="F125" s="2" t="s">
        <v>620</v>
      </c>
      <c r="G125" s="2" t="s">
        <v>237</v>
      </c>
      <c r="H125" s="1" t="s">
        <v>23</v>
      </c>
      <c r="I125" s="1" t="s">
        <v>38</v>
      </c>
      <c r="J125" s="1" t="s">
        <v>100</v>
      </c>
      <c r="K125" s="2" t="s">
        <v>101</v>
      </c>
      <c r="L125" s="2" t="s">
        <v>51</v>
      </c>
      <c r="M125" s="2" t="s">
        <v>102</v>
      </c>
      <c r="N125" s="2" t="s">
        <v>103</v>
      </c>
      <c r="O125" s="12">
        <v>6</v>
      </c>
      <c r="P125" s="12">
        <v>2800</v>
      </c>
      <c r="Q125" s="14">
        <v>10</v>
      </c>
      <c r="R125" s="1">
        <v>18</v>
      </c>
      <c r="S125" s="4">
        <v>17841.599999999999</v>
      </c>
      <c r="T125" s="4" t="s">
        <v>1794</v>
      </c>
      <c r="U125" s="2" t="s">
        <v>137</v>
      </c>
      <c r="V125" s="2" t="s">
        <v>95</v>
      </c>
    </row>
    <row r="126" spans="1:22" x14ac:dyDescent="0.35">
      <c r="A126" s="5" t="s">
        <v>621</v>
      </c>
      <c r="B126" s="10">
        <v>45368</v>
      </c>
      <c r="C126" s="6" t="s">
        <v>1780</v>
      </c>
      <c r="D126" s="6" t="s">
        <v>622</v>
      </c>
      <c r="E126" s="6" t="s">
        <v>623</v>
      </c>
      <c r="F126" s="6" t="s">
        <v>624</v>
      </c>
      <c r="G126" s="6" t="s">
        <v>70</v>
      </c>
      <c r="H126" s="5" t="s">
        <v>70</v>
      </c>
      <c r="I126" s="5" t="s">
        <v>71</v>
      </c>
      <c r="J126" s="5" t="s">
        <v>72</v>
      </c>
      <c r="K126" s="6" t="s">
        <v>73</v>
      </c>
      <c r="L126" s="6" t="s">
        <v>51</v>
      </c>
      <c r="M126" s="6" t="s">
        <v>52</v>
      </c>
      <c r="N126" s="6" t="s">
        <v>74</v>
      </c>
      <c r="O126" s="12">
        <v>10</v>
      </c>
      <c r="P126" s="12">
        <v>14000</v>
      </c>
      <c r="Q126" s="13">
        <v>10</v>
      </c>
      <c r="R126" s="5">
        <v>18</v>
      </c>
      <c r="S126" s="4">
        <v>148680</v>
      </c>
      <c r="T126" s="4" t="s">
        <v>94</v>
      </c>
      <c r="U126" s="6" t="s">
        <v>195</v>
      </c>
      <c r="V126" s="2" t="s">
        <v>138</v>
      </c>
    </row>
    <row r="127" spans="1:22" x14ac:dyDescent="0.35">
      <c r="A127" s="1" t="s">
        <v>625</v>
      </c>
      <c r="B127" s="10">
        <v>45391</v>
      </c>
      <c r="C127" s="2" t="s">
        <v>1787</v>
      </c>
      <c r="D127" s="2" t="s">
        <v>626</v>
      </c>
      <c r="E127" s="2" t="s">
        <v>627</v>
      </c>
      <c r="F127" s="2" t="s">
        <v>628</v>
      </c>
      <c r="G127" s="2" t="s">
        <v>80</v>
      </c>
      <c r="H127" s="1" t="s">
        <v>81</v>
      </c>
      <c r="I127" s="1" t="s">
        <v>24</v>
      </c>
      <c r="J127" s="1" t="s">
        <v>257</v>
      </c>
      <c r="K127" s="2" t="s">
        <v>258</v>
      </c>
      <c r="L127" s="2" t="s">
        <v>62</v>
      </c>
      <c r="M127" s="2" t="s">
        <v>259</v>
      </c>
      <c r="N127" s="2" t="s">
        <v>260</v>
      </c>
      <c r="O127" s="12">
        <v>4</v>
      </c>
      <c r="P127" s="12">
        <v>3500</v>
      </c>
      <c r="Q127" s="14">
        <v>12</v>
      </c>
      <c r="R127" s="1">
        <v>5</v>
      </c>
      <c r="S127" s="4">
        <v>12936</v>
      </c>
      <c r="T127" s="4" t="s">
        <v>1794</v>
      </c>
      <c r="U127" s="2" t="s">
        <v>87</v>
      </c>
      <c r="V127" s="2" t="s">
        <v>138</v>
      </c>
    </row>
    <row r="128" spans="1:22" x14ac:dyDescent="0.35">
      <c r="A128" s="5" t="s">
        <v>629</v>
      </c>
      <c r="B128" s="10">
        <v>45438</v>
      </c>
      <c r="C128" s="6" t="s">
        <v>537</v>
      </c>
      <c r="D128" s="6" t="s">
        <v>630</v>
      </c>
      <c r="E128" s="6" t="s">
        <v>631</v>
      </c>
      <c r="F128" s="6" t="s">
        <v>632</v>
      </c>
      <c r="G128" s="6" t="s">
        <v>237</v>
      </c>
      <c r="H128" s="5" t="s">
        <v>23</v>
      </c>
      <c r="I128" s="5" t="s">
        <v>24</v>
      </c>
      <c r="J128" s="5" t="s">
        <v>133</v>
      </c>
      <c r="K128" s="6" t="s">
        <v>134</v>
      </c>
      <c r="L128" s="6" t="s">
        <v>51</v>
      </c>
      <c r="M128" s="6" t="s">
        <v>135</v>
      </c>
      <c r="N128" s="6" t="s">
        <v>136</v>
      </c>
      <c r="O128" s="12">
        <v>6</v>
      </c>
      <c r="P128" s="12">
        <v>55000</v>
      </c>
      <c r="Q128" s="13">
        <v>0</v>
      </c>
      <c r="R128" s="5">
        <v>18</v>
      </c>
      <c r="S128" s="4">
        <v>389400</v>
      </c>
      <c r="T128" s="4" t="s">
        <v>94</v>
      </c>
      <c r="U128" s="3" t="s">
        <v>30</v>
      </c>
      <c r="V128" s="2" t="s">
        <v>95</v>
      </c>
    </row>
    <row r="129" spans="1:22" x14ac:dyDescent="0.35">
      <c r="A129" s="1" t="s">
        <v>633</v>
      </c>
      <c r="B129" s="10">
        <v>45373</v>
      </c>
      <c r="C129" s="2" t="s">
        <v>1770</v>
      </c>
      <c r="D129" s="2" t="s">
        <v>634</v>
      </c>
      <c r="E129" s="2" t="s">
        <v>635</v>
      </c>
      <c r="F129" s="2" t="s">
        <v>636</v>
      </c>
      <c r="G129" s="2" t="s">
        <v>109</v>
      </c>
      <c r="H129" s="1" t="s">
        <v>48</v>
      </c>
      <c r="I129" s="1" t="s">
        <v>24</v>
      </c>
      <c r="J129" s="1" t="s">
        <v>60</v>
      </c>
      <c r="K129" s="2" t="s">
        <v>61</v>
      </c>
      <c r="L129" s="2" t="s">
        <v>62</v>
      </c>
      <c r="M129" s="2" t="s">
        <v>63</v>
      </c>
      <c r="N129" s="2" t="s">
        <v>64</v>
      </c>
      <c r="O129" s="12">
        <v>3</v>
      </c>
      <c r="P129" s="12">
        <v>3500</v>
      </c>
      <c r="Q129" s="14">
        <v>0</v>
      </c>
      <c r="R129" s="1">
        <v>18</v>
      </c>
      <c r="S129" s="4">
        <v>12390</v>
      </c>
      <c r="T129" s="4" t="s">
        <v>54</v>
      </c>
      <c r="U129" s="2" t="s">
        <v>116</v>
      </c>
      <c r="V129" s="2" t="s">
        <v>138</v>
      </c>
    </row>
    <row r="130" spans="1:22" x14ac:dyDescent="0.35">
      <c r="A130" s="5" t="s">
        <v>637</v>
      </c>
      <c r="B130" s="10">
        <v>45397</v>
      </c>
      <c r="C130" s="6" t="s">
        <v>1777</v>
      </c>
      <c r="D130" s="6" t="s">
        <v>638</v>
      </c>
      <c r="E130" s="6" t="s">
        <v>389</v>
      </c>
      <c r="F130" s="6" t="s">
        <v>639</v>
      </c>
      <c r="G130" s="6" t="s">
        <v>237</v>
      </c>
      <c r="H130" s="5" t="s">
        <v>23</v>
      </c>
      <c r="I130" s="5" t="s">
        <v>24</v>
      </c>
      <c r="J130" s="5" t="s">
        <v>184</v>
      </c>
      <c r="K130" s="6" t="s">
        <v>185</v>
      </c>
      <c r="L130" s="6" t="s">
        <v>51</v>
      </c>
      <c r="M130" s="6" t="s">
        <v>186</v>
      </c>
      <c r="N130" s="6" t="s">
        <v>74</v>
      </c>
      <c r="O130" s="12">
        <v>7</v>
      </c>
      <c r="P130" s="12">
        <v>35000</v>
      </c>
      <c r="Q130" s="13">
        <v>5</v>
      </c>
      <c r="R130" s="5">
        <v>18</v>
      </c>
      <c r="S130" s="4">
        <v>274645</v>
      </c>
      <c r="T130" s="4" t="s">
        <v>1794</v>
      </c>
      <c r="U130" s="3" t="s">
        <v>87</v>
      </c>
      <c r="V130" s="2" t="s">
        <v>95</v>
      </c>
    </row>
    <row r="131" spans="1:22" x14ac:dyDescent="0.35">
      <c r="A131" s="1" t="s">
        <v>640</v>
      </c>
      <c r="B131" s="10">
        <v>45350</v>
      </c>
      <c r="C131" s="2" t="s">
        <v>177</v>
      </c>
      <c r="D131" s="2" t="s">
        <v>641</v>
      </c>
      <c r="E131" s="2" t="s">
        <v>179</v>
      </c>
      <c r="F131" s="2" t="s">
        <v>642</v>
      </c>
      <c r="G131" s="2" t="s">
        <v>230</v>
      </c>
      <c r="H131" s="1" t="s">
        <v>231</v>
      </c>
      <c r="I131" s="1" t="s">
        <v>24</v>
      </c>
      <c r="J131" s="1" t="s">
        <v>72</v>
      </c>
      <c r="K131" s="2" t="s">
        <v>73</v>
      </c>
      <c r="L131" s="2" t="s">
        <v>51</v>
      </c>
      <c r="M131" s="2" t="s">
        <v>52</v>
      </c>
      <c r="N131" s="2" t="s">
        <v>74</v>
      </c>
      <c r="O131" s="12">
        <v>4</v>
      </c>
      <c r="P131" s="12">
        <v>14000</v>
      </c>
      <c r="Q131" s="14">
        <v>15</v>
      </c>
      <c r="R131" s="1">
        <v>18</v>
      </c>
      <c r="S131" s="4">
        <v>56168</v>
      </c>
      <c r="T131" s="4" t="s">
        <v>65</v>
      </c>
      <c r="U131" s="3" t="s">
        <v>30</v>
      </c>
      <c r="V131" s="2" t="s">
        <v>138</v>
      </c>
    </row>
    <row r="132" spans="1:22" x14ac:dyDescent="0.35">
      <c r="A132" s="5" t="s">
        <v>643</v>
      </c>
      <c r="B132" s="10">
        <v>45336</v>
      </c>
      <c r="C132" s="6" t="s">
        <v>1782</v>
      </c>
      <c r="D132" s="6" t="s">
        <v>644</v>
      </c>
      <c r="E132" s="6" t="s">
        <v>645</v>
      </c>
      <c r="F132" s="6" t="s">
        <v>646</v>
      </c>
      <c r="G132" s="6" t="s">
        <v>349</v>
      </c>
      <c r="H132" s="5" t="s">
        <v>209</v>
      </c>
      <c r="I132" s="5" t="s">
        <v>210</v>
      </c>
      <c r="J132" s="5" t="s">
        <v>158</v>
      </c>
      <c r="K132" s="6" t="s">
        <v>159</v>
      </c>
      <c r="L132" s="6" t="s">
        <v>62</v>
      </c>
      <c r="M132" s="6" t="s">
        <v>160</v>
      </c>
      <c r="N132" s="6" t="s">
        <v>161</v>
      </c>
      <c r="O132" s="12">
        <v>9</v>
      </c>
      <c r="P132" s="12">
        <v>2500</v>
      </c>
      <c r="Q132" s="13">
        <v>12</v>
      </c>
      <c r="R132" s="5">
        <v>5</v>
      </c>
      <c r="S132" s="4">
        <v>20790</v>
      </c>
      <c r="T132" s="4" t="s">
        <v>94</v>
      </c>
      <c r="U132" s="3" t="s">
        <v>116</v>
      </c>
      <c r="V132" s="2" t="s">
        <v>95</v>
      </c>
    </row>
    <row r="133" spans="1:22" x14ac:dyDescent="0.35">
      <c r="A133" s="1" t="s">
        <v>647</v>
      </c>
      <c r="B133" s="10">
        <v>45299</v>
      </c>
      <c r="C133" s="2" t="s">
        <v>1787</v>
      </c>
      <c r="D133" s="2" t="s">
        <v>648</v>
      </c>
      <c r="E133" s="2" t="s">
        <v>473</v>
      </c>
      <c r="F133" s="2" t="s">
        <v>649</v>
      </c>
      <c r="G133" s="2" t="s">
        <v>80</v>
      </c>
      <c r="H133" s="1" t="s">
        <v>81</v>
      </c>
      <c r="I133" s="1" t="s">
        <v>24</v>
      </c>
      <c r="J133" s="1" t="s">
        <v>133</v>
      </c>
      <c r="K133" s="2" t="s">
        <v>134</v>
      </c>
      <c r="L133" s="2" t="s">
        <v>51</v>
      </c>
      <c r="M133" s="2" t="s">
        <v>135</v>
      </c>
      <c r="N133" s="2" t="s">
        <v>136</v>
      </c>
      <c r="O133" s="12">
        <v>1</v>
      </c>
      <c r="P133" s="12">
        <v>55000</v>
      </c>
      <c r="Q133" s="14">
        <v>25</v>
      </c>
      <c r="R133" s="1">
        <v>18</v>
      </c>
      <c r="S133" s="4">
        <v>48675</v>
      </c>
      <c r="T133" s="4" t="s">
        <v>1794</v>
      </c>
      <c r="U133" s="2" t="s">
        <v>87</v>
      </c>
      <c r="V133" s="2" t="s">
        <v>138</v>
      </c>
    </row>
    <row r="134" spans="1:22" x14ac:dyDescent="0.35">
      <c r="A134" s="5" t="s">
        <v>650</v>
      </c>
      <c r="B134" s="10">
        <v>45388</v>
      </c>
      <c r="C134" s="6" t="s">
        <v>1765</v>
      </c>
      <c r="D134" s="6" t="s">
        <v>651</v>
      </c>
      <c r="E134" s="6" t="s">
        <v>652</v>
      </c>
      <c r="F134" s="6" t="s">
        <v>653</v>
      </c>
      <c r="G134" s="6" t="s">
        <v>92</v>
      </c>
      <c r="H134" s="5" t="s">
        <v>93</v>
      </c>
      <c r="I134" s="5" t="s">
        <v>38</v>
      </c>
      <c r="J134" s="5" t="s">
        <v>242</v>
      </c>
      <c r="K134" s="6" t="s">
        <v>243</v>
      </c>
      <c r="L134" s="6" t="s">
        <v>84</v>
      </c>
      <c r="M134" s="6" t="s">
        <v>244</v>
      </c>
      <c r="N134" s="6" t="s">
        <v>245</v>
      </c>
      <c r="O134" s="12">
        <v>8</v>
      </c>
      <c r="P134" s="12">
        <v>3200</v>
      </c>
      <c r="Q134" s="13">
        <v>12</v>
      </c>
      <c r="R134" s="5">
        <v>18</v>
      </c>
      <c r="S134" s="4">
        <v>26583.039999999997</v>
      </c>
      <c r="T134" s="4" t="s">
        <v>54</v>
      </c>
      <c r="U134" s="6" t="s">
        <v>195</v>
      </c>
      <c r="V134" s="2" t="s">
        <v>138</v>
      </c>
    </row>
    <row r="135" spans="1:22" x14ac:dyDescent="0.35">
      <c r="A135" s="1" t="s">
        <v>654</v>
      </c>
      <c r="B135" s="10">
        <v>45330</v>
      </c>
      <c r="C135" s="2" t="s">
        <v>1773</v>
      </c>
      <c r="D135" s="2" t="s">
        <v>655</v>
      </c>
      <c r="E135" s="2" t="s">
        <v>656</v>
      </c>
      <c r="F135" s="2" t="s">
        <v>657</v>
      </c>
      <c r="G135" s="2" t="s">
        <v>230</v>
      </c>
      <c r="H135" s="1" t="s">
        <v>231</v>
      </c>
      <c r="I135" s="1" t="s">
        <v>24</v>
      </c>
      <c r="J135" s="1" t="s">
        <v>184</v>
      </c>
      <c r="K135" s="2" t="s">
        <v>185</v>
      </c>
      <c r="L135" s="2" t="s">
        <v>51</v>
      </c>
      <c r="M135" s="2" t="s">
        <v>186</v>
      </c>
      <c r="N135" s="2" t="s">
        <v>74</v>
      </c>
      <c r="O135" s="12">
        <v>10</v>
      </c>
      <c r="P135" s="12">
        <v>35000</v>
      </c>
      <c r="Q135" s="14">
        <v>12</v>
      </c>
      <c r="R135" s="1">
        <v>18</v>
      </c>
      <c r="S135" s="4">
        <v>363440</v>
      </c>
      <c r="T135" s="4" t="s">
        <v>54</v>
      </c>
      <c r="U135" s="2" t="s">
        <v>195</v>
      </c>
      <c r="V135" s="2" t="s">
        <v>95</v>
      </c>
    </row>
    <row r="136" spans="1:22" x14ac:dyDescent="0.35">
      <c r="A136" s="5" t="s">
        <v>658</v>
      </c>
      <c r="B136" s="10">
        <v>45338</v>
      </c>
      <c r="C136" s="6" t="s">
        <v>1775</v>
      </c>
      <c r="D136" s="6" t="s">
        <v>659</v>
      </c>
      <c r="E136" s="6" t="s">
        <v>660</v>
      </c>
      <c r="F136" s="6" t="s">
        <v>661</v>
      </c>
      <c r="G136" s="6" t="s">
        <v>150</v>
      </c>
      <c r="H136" s="5" t="s">
        <v>93</v>
      </c>
      <c r="I136" s="5" t="s">
        <v>38</v>
      </c>
      <c r="J136" s="5" t="s">
        <v>133</v>
      </c>
      <c r="K136" s="6" t="s">
        <v>134</v>
      </c>
      <c r="L136" s="6" t="s">
        <v>51</v>
      </c>
      <c r="M136" s="6" t="s">
        <v>135</v>
      </c>
      <c r="N136" s="6" t="s">
        <v>136</v>
      </c>
      <c r="O136" s="12">
        <v>10</v>
      </c>
      <c r="P136" s="12">
        <v>55000</v>
      </c>
      <c r="Q136" s="13">
        <v>25</v>
      </c>
      <c r="R136" s="5">
        <v>18</v>
      </c>
      <c r="S136" s="4">
        <v>486750</v>
      </c>
      <c r="T136" s="4" t="s">
        <v>65</v>
      </c>
      <c r="U136" s="3" t="s">
        <v>30</v>
      </c>
      <c r="V136" s="2" t="s">
        <v>138</v>
      </c>
    </row>
    <row r="137" spans="1:22" x14ac:dyDescent="0.35">
      <c r="A137" s="1" t="s">
        <v>662</v>
      </c>
      <c r="B137" s="10">
        <v>45420</v>
      </c>
      <c r="C137" s="2" t="s">
        <v>1778</v>
      </c>
      <c r="D137" s="2" t="s">
        <v>663</v>
      </c>
      <c r="E137" s="2" t="s">
        <v>293</v>
      </c>
      <c r="F137" s="2" t="s">
        <v>664</v>
      </c>
      <c r="G137" s="2" t="s">
        <v>166</v>
      </c>
      <c r="H137" s="1" t="s">
        <v>167</v>
      </c>
      <c r="I137" s="1" t="s">
        <v>71</v>
      </c>
      <c r="J137" s="1" t="s">
        <v>25</v>
      </c>
      <c r="K137" s="2" t="s">
        <v>26</v>
      </c>
      <c r="L137" s="2" t="s">
        <v>27</v>
      </c>
      <c r="M137" s="2" t="s">
        <v>28</v>
      </c>
      <c r="N137" s="2" t="s">
        <v>29</v>
      </c>
      <c r="O137" s="12">
        <v>6</v>
      </c>
      <c r="P137" s="12">
        <v>450</v>
      </c>
      <c r="Q137" s="14">
        <v>0</v>
      </c>
      <c r="R137" s="1">
        <v>5</v>
      </c>
      <c r="S137" s="4">
        <v>2835</v>
      </c>
      <c r="T137" s="4" t="s">
        <v>94</v>
      </c>
      <c r="U137" s="3" t="s">
        <v>137</v>
      </c>
      <c r="V137" s="2" t="s">
        <v>95</v>
      </c>
    </row>
    <row r="138" spans="1:22" x14ac:dyDescent="0.35">
      <c r="A138" s="5" t="s">
        <v>665</v>
      </c>
      <c r="B138" s="10">
        <v>45417</v>
      </c>
      <c r="C138" s="6" t="s">
        <v>76</v>
      </c>
      <c r="D138" s="6" t="s">
        <v>666</v>
      </c>
      <c r="E138" s="6" t="s">
        <v>667</v>
      </c>
      <c r="F138" s="6" t="s">
        <v>668</v>
      </c>
      <c r="G138" s="6" t="s">
        <v>315</v>
      </c>
      <c r="H138" s="5" t="s">
        <v>256</v>
      </c>
      <c r="I138" s="5" t="s">
        <v>24</v>
      </c>
      <c r="J138" s="5" t="s">
        <v>669</v>
      </c>
      <c r="K138" s="6" t="s">
        <v>670</v>
      </c>
      <c r="L138" s="6" t="s">
        <v>84</v>
      </c>
      <c r="M138" s="6" t="s">
        <v>85</v>
      </c>
      <c r="N138" s="6" t="s">
        <v>671</v>
      </c>
      <c r="O138" s="12">
        <v>6</v>
      </c>
      <c r="P138" s="12">
        <v>38000</v>
      </c>
      <c r="Q138" s="13">
        <v>8</v>
      </c>
      <c r="R138" s="5">
        <v>18</v>
      </c>
      <c r="S138" s="4">
        <v>247516.79999999999</v>
      </c>
      <c r="T138" s="4" t="s">
        <v>294</v>
      </c>
      <c r="U138" s="6" t="s">
        <v>116</v>
      </c>
      <c r="V138" s="2" t="s">
        <v>95</v>
      </c>
    </row>
    <row r="139" spans="1:22" x14ac:dyDescent="0.35">
      <c r="A139" s="1" t="s">
        <v>672</v>
      </c>
      <c r="B139" s="10">
        <v>45303</v>
      </c>
      <c r="C139" s="2" t="s">
        <v>1772</v>
      </c>
      <c r="D139" s="2" t="s">
        <v>673</v>
      </c>
      <c r="E139" s="2" t="s">
        <v>382</v>
      </c>
      <c r="F139" s="2" t="s">
        <v>674</v>
      </c>
      <c r="G139" s="2" t="s">
        <v>237</v>
      </c>
      <c r="H139" s="1" t="s">
        <v>23</v>
      </c>
      <c r="I139" s="1" t="s">
        <v>675</v>
      </c>
      <c r="J139" s="1" t="s">
        <v>100</v>
      </c>
      <c r="K139" s="2" t="s">
        <v>1790</v>
      </c>
      <c r="L139" s="2" t="s">
        <v>51</v>
      </c>
      <c r="M139" s="2" t="s">
        <v>102</v>
      </c>
      <c r="N139" s="2" t="s">
        <v>103</v>
      </c>
      <c r="O139" s="12">
        <v>1</v>
      </c>
      <c r="P139" s="12">
        <v>2800</v>
      </c>
      <c r="Q139" s="14">
        <v>15</v>
      </c>
      <c r="R139" s="1">
        <v>18</v>
      </c>
      <c r="S139" s="4">
        <v>2808.3999999999996</v>
      </c>
      <c r="T139" s="4" t="s">
        <v>1794</v>
      </c>
      <c r="U139" s="2" t="s">
        <v>116</v>
      </c>
      <c r="V139" s="2" t="s">
        <v>138</v>
      </c>
    </row>
    <row r="140" spans="1:22" x14ac:dyDescent="0.35">
      <c r="A140" s="5" t="s">
        <v>676</v>
      </c>
      <c r="B140" s="10">
        <v>45428</v>
      </c>
      <c r="C140" s="6" t="s">
        <v>1767</v>
      </c>
      <c r="D140" s="6" t="s">
        <v>677</v>
      </c>
      <c r="E140" s="6" t="s">
        <v>678</v>
      </c>
      <c r="F140" s="6" t="s">
        <v>679</v>
      </c>
      <c r="G140" s="6" t="s">
        <v>315</v>
      </c>
      <c r="H140" s="5" t="s">
        <v>256</v>
      </c>
      <c r="I140" s="5" t="s">
        <v>24</v>
      </c>
      <c r="J140" s="5" t="s">
        <v>434</v>
      </c>
      <c r="K140" s="6" t="s">
        <v>435</v>
      </c>
      <c r="L140" s="6" t="s">
        <v>62</v>
      </c>
      <c r="M140" s="6" t="s">
        <v>160</v>
      </c>
      <c r="N140" s="6" t="s">
        <v>436</v>
      </c>
      <c r="O140" s="12">
        <v>1</v>
      </c>
      <c r="P140" s="12">
        <v>1200</v>
      </c>
      <c r="Q140" s="13">
        <v>8</v>
      </c>
      <c r="R140" s="5">
        <v>5</v>
      </c>
      <c r="S140" s="4">
        <v>1159.2</v>
      </c>
      <c r="T140" s="4" t="s">
        <v>294</v>
      </c>
      <c r="U140" s="3" t="s">
        <v>30</v>
      </c>
      <c r="V140" s="2" t="s">
        <v>138</v>
      </c>
    </row>
    <row r="141" spans="1:22" x14ac:dyDescent="0.35">
      <c r="A141" s="1" t="s">
        <v>680</v>
      </c>
      <c r="B141" s="10">
        <v>45321</v>
      </c>
      <c r="C141" s="2" t="s">
        <v>1787</v>
      </c>
      <c r="D141" s="2" t="s">
        <v>681</v>
      </c>
      <c r="E141" s="2" t="s">
        <v>682</v>
      </c>
      <c r="F141" s="2" t="s">
        <v>683</v>
      </c>
      <c r="G141" s="2" t="s">
        <v>109</v>
      </c>
      <c r="H141" s="1" t="s">
        <v>48</v>
      </c>
      <c r="I141" s="1" t="s">
        <v>24</v>
      </c>
      <c r="J141" s="1" t="s">
        <v>266</v>
      </c>
      <c r="K141" s="2" t="s">
        <v>267</v>
      </c>
      <c r="L141" s="2" t="s">
        <v>62</v>
      </c>
      <c r="M141" s="2" t="s">
        <v>63</v>
      </c>
      <c r="N141" s="2" t="s">
        <v>268</v>
      </c>
      <c r="O141" s="12">
        <v>1</v>
      </c>
      <c r="P141" s="12">
        <v>8500</v>
      </c>
      <c r="Q141" s="14">
        <v>8</v>
      </c>
      <c r="R141" s="1">
        <v>18</v>
      </c>
      <c r="S141" s="4">
        <v>9227.6</v>
      </c>
      <c r="T141" s="4" t="s">
        <v>294</v>
      </c>
      <c r="U141" s="2" t="s">
        <v>87</v>
      </c>
      <c r="V141" s="2" t="s">
        <v>138</v>
      </c>
    </row>
    <row r="142" spans="1:22" x14ac:dyDescent="0.35">
      <c r="A142" s="5" t="s">
        <v>684</v>
      </c>
      <c r="B142" s="10">
        <v>45408</v>
      </c>
      <c r="C142" s="6" t="s">
        <v>197</v>
      </c>
      <c r="D142" s="6" t="s">
        <v>685</v>
      </c>
      <c r="E142" s="6" t="s">
        <v>488</v>
      </c>
      <c r="F142" s="6" t="s">
        <v>686</v>
      </c>
      <c r="G142" s="6" t="s">
        <v>80</v>
      </c>
      <c r="H142" s="5" t="s">
        <v>81</v>
      </c>
      <c r="I142" s="5" t="s">
        <v>24</v>
      </c>
      <c r="J142" s="5" t="s">
        <v>257</v>
      </c>
      <c r="K142" s="6" t="s">
        <v>258</v>
      </c>
      <c r="L142" s="6" t="s">
        <v>62</v>
      </c>
      <c r="M142" s="6" t="s">
        <v>259</v>
      </c>
      <c r="N142" s="6" t="s">
        <v>260</v>
      </c>
      <c r="O142" s="12">
        <v>1</v>
      </c>
      <c r="P142" s="12">
        <v>3500</v>
      </c>
      <c r="Q142" s="13">
        <v>25</v>
      </c>
      <c r="R142" s="5">
        <v>5</v>
      </c>
      <c r="S142" s="4">
        <v>2756.25</v>
      </c>
      <c r="T142" s="4" t="s">
        <v>94</v>
      </c>
      <c r="U142" s="6" t="s">
        <v>195</v>
      </c>
      <c r="V142" s="2" t="s">
        <v>95</v>
      </c>
    </row>
    <row r="143" spans="1:22" x14ac:dyDescent="0.35">
      <c r="A143" s="1" t="s">
        <v>687</v>
      </c>
      <c r="B143" s="10">
        <v>45321</v>
      </c>
      <c r="C143" s="2" t="s">
        <v>233</v>
      </c>
      <c r="D143" s="2" t="s">
        <v>688</v>
      </c>
      <c r="E143" s="2" t="s">
        <v>235</v>
      </c>
      <c r="F143" s="2" t="s">
        <v>689</v>
      </c>
      <c r="G143" s="2" t="s">
        <v>80</v>
      </c>
      <c r="H143" s="1" t="s">
        <v>81</v>
      </c>
      <c r="I143" s="1" t="s">
        <v>24</v>
      </c>
      <c r="J143" s="1" t="s">
        <v>669</v>
      </c>
      <c r="K143" s="2" t="s">
        <v>670</v>
      </c>
      <c r="L143" s="2" t="s">
        <v>84</v>
      </c>
      <c r="M143" s="2" t="s">
        <v>85</v>
      </c>
      <c r="N143" s="2" t="s">
        <v>671</v>
      </c>
      <c r="O143" s="12">
        <v>1</v>
      </c>
      <c r="P143" s="12">
        <v>38000</v>
      </c>
      <c r="Q143" s="14">
        <v>25</v>
      </c>
      <c r="R143" s="1">
        <v>18</v>
      </c>
      <c r="S143" s="4">
        <v>33630</v>
      </c>
      <c r="T143" s="4" t="s">
        <v>1793</v>
      </c>
      <c r="U143" s="3" t="s">
        <v>137</v>
      </c>
      <c r="V143" s="2" t="s">
        <v>95</v>
      </c>
    </row>
    <row r="144" spans="1:22" x14ac:dyDescent="0.35">
      <c r="A144" s="5" t="s">
        <v>690</v>
      </c>
      <c r="B144" s="10">
        <v>45415</v>
      </c>
      <c r="C144" s="6" t="s">
        <v>525</v>
      </c>
      <c r="D144" s="6" t="s">
        <v>691</v>
      </c>
      <c r="E144" s="6" t="s">
        <v>527</v>
      </c>
      <c r="F144" s="6" t="s">
        <v>692</v>
      </c>
      <c r="G144" s="6" t="s">
        <v>109</v>
      </c>
      <c r="H144" s="5" t="s">
        <v>48</v>
      </c>
      <c r="I144" s="5" t="s">
        <v>24</v>
      </c>
      <c r="J144" s="5" t="s">
        <v>250</v>
      </c>
      <c r="K144" s="6" t="s">
        <v>251</v>
      </c>
      <c r="L144" s="6" t="s">
        <v>84</v>
      </c>
      <c r="M144" s="6" t="s">
        <v>85</v>
      </c>
      <c r="N144" s="6" t="s">
        <v>252</v>
      </c>
      <c r="O144" s="12">
        <v>3</v>
      </c>
      <c r="P144" s="12">
        <v>42000</v>
      </c>
      <c r="Q144" s="13">
        <v>25</v>
      </c>
      <c r="R144" s="5">
        <v>18</v>
      </c>
      <c r="S144" s="4">
        <v>111510</v>
      </c>
      <c r="T144" s="4" t="s">
        <v>1793</v>
      </c>
      <c r="U144" s="3" t="s">
        <v>30</v>
      </c>
      <c r="V144" s="2" t="s">
        <v>95</v>
      </c>
    </row>
    <row r="145" spans="1:22" x14ac:dyDescent="0.35">
      <c r="A145" s="1" t="s">
        <v>693</v>
      </c>
      <c r="B145" s="10">
        <v>45294</v>
      </c>
      <c r="C145" s="2" t="s">
        <v>1784</v>
      </c>
      <c r="D145" s="2" t="s">
        <v>694</v>
      </c>
      <c r="E145" s="2" t="s">
        <v>594</v>
      </c>
      <c r="F145" s="2" t="s">
        <v>695</v>
      </c>
      <c r="G145" s="2" t="s">
        <v>237</v>
      </c>
      <c r="H145" s="1" t="s">
        <v>23</v>
      </c>
      <c r="I145" s="1" t="s">
        <v>24</v>
      </c>
      <c r="J145" s="1" t="s">
        <v>300</v>
      </c>
      <c r="K145" s="2" t="s">
        <v>301</v>
      </c>
      <c r="L145" s="2" t="s">
        <v>62</v>
      </c>
      <c r="M145" s="2" t="s">
        <v>302</v>
      </c>
      <c r="N145" s="2" t="s">
        <v>303</v>
      </c>
      <c r="O145" s="12">
        <v>6</v>
      </c>
      <c r="P145" s="12">
        <v>4800</v>
      </c>
      <c r="Q145" s="14">
        <v>10</v>
      </c>
      <c r="R145" s="1">
        <v>18</v>
      </c>
      <c r="S145" s="4">
        <v>30585.599999999999</v>
      </c>
      <c r="T145" s="4" t="s">
        <v>65</v>
      </c>
      <c r="U145" s="3" t="s">
        <v>87</v>
      </c>
      <c r="V145" s="2" t="s">
        <v>95</v>
      </c>
    </row>
    <row r="146" spans="1:22" x14ac:dyDescent="0.35">
      <c r="A146" s="5" t="s">
        <v>696</v>
      </c>
      <c r="B146" s="10">
        <v>45395</v>
      </c>
      <c r="C146" s="6" t="s">
        <v>1768</v>
      </c>
      <c r="D146" s="6" t="s">
        <v>697</v>
      </c>
      <c r="E146" s="6" t="s">
        <v>473</v>
      </c>
      <c r="F146" s="3" t="s">
        <v>1789</v>
      </c>
      <c r="G146" s="3" t="s">
        <v>166</v>
      </c>
      <c r="H146" s="5" t="s">
        <v>167</v>
      </c>
      <c r="I146" s="5" t="s">
        <v>71</v>
      </c>
      <c r="J146" s="5" t="s">
        <v>133</v>
      </c>
      <c r="K146" s="6" t="s">
        <v>134</v>
      </c>
      <c r="L146" s="6" t="s">
        <v>51</v>
      </c>
      <c r="M146" s="6" t="s">
        <v>135</v>
      </c>
      <c r="N146" s="6" t="s">
        <v>136</v>
      </c>
      <c r="O146" s="12">
        <v>4</v>
      </c>
      <c r="P146" s="12">
        <v>55000</v>
      </c>
      <c r="Q146" s="13">
        <v>25</v>
      </c>
      <c r="R146" s="5">
        <v>18</v>
      </c>
      <c r="S146" s="4">
        <v>194700</v>
      </c>
      <c r="T146" s="4" t="s">
        <v>54</v>
      </c>
      <c r="U146" s="6" t="s">
        <v>137</v>
      </c>
      <c r="V146" s="2" t="s">
        <v>138</v>
      </c>
    </row>
    <row r="147" spans="1:22" x14ac:dyDescent="0.35">
      <c r="A147" s="1" t="s">
        <v>698</v>
      </c>
      <c r="B147" s="10">
        <v>45292</v>
      </c>
      <c r="C147" s="2" t="s">
        <v>330</v>
      </c>
      <c r="D147" s="2" t="s">
        <v>699</v>
      </c>
      <c r="E147" s="2" t="s">
        <v>332</v>
      </c>
      <c r="F147" s="2" t="s">
        <v>700</v>
      </c>
      <c r="G147" s="2" t="s">
        <v>349</v>
      </c>
      <c r="H147" s="1" t="s">
        <v>209</v>
      </c>
      <c r="I147" s="1" t="s">
        <v>210</v>
      </c>
      <c r="J147" s="1" t="s">
        <v>201</v>
      </c>
      <c r="K147" s="2" t="s">
        <v>202</v>
      </c>
      <c r="L147" s="2" t="s">
        <v>27</v>
      </c>
      <c r="M147" s="2" t="s">
        <v>203</v>
      </c>
      <c r="N147" s="2" t="s">
        <v>204</v>
      </c>
      <c r="O147" s="12">
        <v>6</v>
      </c>
      <c r="P147" s="12">
        <v>280</v>
      </c>
      <c r="Q147" s="14">
        <v>25</v>
      </c>
      <c r="R147" s="1">
        <v>5</v>
      </c>
      <c r="S147" s="4">
        <v>1323</v>
      </c>
      <c r="T147" s="4" t="s">
        <v>94</v>
      </c>
      <c r="U147" s="3" t="s">
        <v>30</v>
      </c>
      <c r="V147" s="2" t="s">
        <v>95</v>
      </c>
    </row>
    <row r="148" spans="1:22" x14ac:dyDescent="0.35">
      <c r="A148" s="5" t="s">
        <v>701</v>
      </c>
      <c r="B148" s="10">
        <v>45407</v>
      </c>
      <c r="C148" s="6" t="s">
        <v>1771</v>
      </c>
      <c r="D148" s="6" t="s">
        <v>702</v>
      </c>
      <c r="E148" s="6" t="s">
        <v>193</v>
      </c>
      <c r="F148" s="6" t="s">
        <v>703</v>
      </c>
      <c r="G148" s="6" t="s">
        <v>349</v>
      </c>
      <c r="H148" s="5" t="s">
        <v>209</v>
      </c>
      <c r="I148" s="5" t="s">
        <v>210</v>
      </c>
      <c r="J148" s="5" t="s">
        <v>172</v>
      </c>
      <c r="K148" s="6" t="s">
        <v>173</v>
      </c>
      <c r="L148" s="6" t="s">
        <v>84</v>
      </c>
      <c r="M148" s="6" t="s">
        <v>174</v>
      </c>
      <c r="N148" s="6" t="s">
        <v>175</v>
      </c>
      <c r="O148" s="12">
        <v>2</v>
      </c>
      <c r="P148" s="12">
        <v>299</v>
      </c>
      <c r="Q148" s="13">
        <v>15</v>
      </c>
      <c r="R148" s="5">
        <v>18</v>
      </c>
      <c r="S148" s="4">
        <v>599.79399999999998</v>
      </c>
      <c r="T148" s="4" t="s">
        <v>54</v>
      </c>
      <c r="U148" s="3" t="s">
        <v>116</v>
      </c>
      <c r="V148" s="2" t="s">
        <v>138</v>
      </c>
    </row>
    <row r="149" spans="1:22" x14ac:dyDescent="0.35">
      <c r="A149" s="1" t="s">
        <v>704</v>
      </c>
      <c r="B149" s="10">
        <v>45379</v>
      </c>
      <c r="C149" s="2" t="s">
        <v>1787</v>
      </c>
      <c r="D149" s="2" t="s">
        <v>705</v>
      </c>
      <c r="E149" s="2" t="s">
        <v>706</v>
      </c>
      <c r="F149" s="2" t="s">
        <v>707</v>
      </c>
      <c r="G149" s="2" t="s">
        <v>315</v>
      </c>
      <c r="H149" s="1" t="s">
        <v>256</v>
      </c>
      <c r="I149" s="1" t="s">
        <v>24</v>
      </c>
      <c r="J149" s="1" t="s">
        <v>60</v>
      </c>
      <c r="K149" s="2" t="s">
        <v>61</v>
      </c>
      <c r="L149" s="2" t="s">
        <v>62</v>
      </c>
      <c r="M149" s="2" t="s">
        <v>63</v>
      </c>
      <c r="N149" s="2" t="s">
        <v>64</v>
      </c>
      <c r="O149" s="12">
        <v>10</v>
      </c>
      <c r="P149" s="12">
        <v>3500</v>
      </c>
      <c r="Q149" s="14">
        <v>15</v>
      </c>
      <c r="R149" s="1">
        <v>18</v>
      </c>
      <c r="S149" s="4">
        <v>35105</v>
      </c>
      <c r="T149" s="4" t="s">
        <v>294</v>
      </c>
      <c r="U149" s="2" t="s">
        <v>195</v>
      </c>
      <c r="V149" s="2" t="s">
        <v>138</v>
      </c>
    </row>
    <row r="150" spans="1:22" x14ac:dyDescent="0.35">
      <c r="A150" s="5" t="s">
        <v>708</v>
      </c>
      <c r="B150" s="10">
        <v>45321</v>
      </c>
      <c r="C150" s="6" t="s">
        <v>1770</v>
      </c>
      <c r="D150" s="6" t="s">
        <v>709</v>
      </c>
      <c r="E150" s="6" t="s">
        <v>635</v>
      </c>
      <c r="F150" s="6" t="s">
        <v>710</v>
      </c>
      <c r="G150" s="6" t="s">
        <v>114</v>
      </c>
      <c r="H150" s="5" t="s">
        <v>115</v>
      </c>
      <c r="I150" s="5" t="s">
        <v>71</v>
      </c>
      <c r="J150" s="5" t="s">
        <v>82</v>
      </c>
      <c r="K150" s="6" t="s">
        <v>83</v>
      </c>
      <c r="L150" s="6" t="s">
        <v>84</v>
      </c>
      <c r="M150" s="6" t="s">
        <v>85</v>
      </c>
      <c r="N150" s="6" t="s">
        <v>86</v>
      </c>
      <c r="O150" s="12">
        <v>4</v>
      </c>
      <c r="P150" s="12">
        <v>12000</v>
      </c>
      <c r="Q150" s="13">
        <v>8</v>
      </c>
      <c r="R150" s="5">
        <v>18</v>
      </c>
      <c r="S150" s="4">
        <v>52108.799999999996</v>
      </c>
      <c r="T150" s="4" t="s">
        <v>94</v>
      </c>
      <c r="U150" s="3" t="s">
        <v>87</v>
      </c>
      <c r="V150" s="2" t="s">
        <v>95</v>
      </c>
    </row>
    <row r="151" spans="1:22" x14ac:dyDescent="0.35">
      <c r="A151" s="1" t="s">
        <v>711</v>
      </c>
      <c r="B151" s="10">
        <v>45383</v>
      </c>
      <c r="C151" s="2" t="s">
        <v>1763</v>
      </c>
      <c r="D151" s="2" t="s">
        <v>712</v>
      </c>
      <c r="E151" s="2" t="s">
        <v>713</v>
      </c>
      <c r="F151" s="2" t="s">
        <v>714</v>
      </c>
      <c r="G151" s="2" t="s">
        <v>114</v>
      </c>
      <c r="H151" s="1" t="s">
        <v>115</v>
      </c>
      <c r="I151" s="1" t="s">
        <v>71</v>
      </c>
      <c r="J151" s="1" t="s">
        <v>242</v>
      </c>
      <c r="K151" s="2" t="s">
        <v>243</v>
      </c>
      <c r="L151" s="2" t="s">
        <v>84</v>
      </c>
      <c r="M151" s="2" t="s">
        <v>244</v>
      </c>
      <c r="N151" s="2" t="s">
        <v>245</v>
      </c>
      <c r="O151" s="12">
        <v>1</v>
      </c>
      <c r="P151" s="12">
        <v>3200</v>
      </c>
      <c r="Q151" s="14">
        <v>12</v>
      </c>
      <c r="R151" s="1">
        <v>18</v>
      </c>
      <c r="S151" s="4">
        <v>3322.8799999999997</v>
      </c>
      <c r="T151" s="4" t="s">
        <v>294</v>
      </c>
      <c r="U151" s="3" t="s">
        <v>87</v>
      </c>
      <c r="V151" s="2" t="s">
        <v>95</v>
      </c>
    </row>
    <row r="152" spans="1:22" x14ac:dyDescent="0.35">
      <c r="A152" s="5" t="s">
        <v>715</v>
      </c>
      <c r="B152" s="10">
        <v>45446</v>
      </c>
      <c r="C152" s="6" t="s">
        <v>1772</v>
      </c>
      <c r="D152" s="6" t="s">
        <v>716</v>
      </c>
      <c r="E152" s="6" t="s">
        <v>717</v>
      </c>
      <c r="F152" s="6" t="s">
        <v>718</v>
      </c>
      <c r="G152" s="6" t="s">
        <v>550</v>
      </c>
      <c r="H152" s="5" t="s">
        <v>37</v>
      </c>
      <c r="I152" s="5" t="s">
        <v>38</v>
      </c>
      <c r="J152" s="5" t="s">
        <v>172</v>
      </c>
      <c r="K152" s="6" t="s">
        <v>173</v>
      </c>
      <c r="L152" s="6" t="s">
        <v>84</v>
      </c>
      <c r="M152" s="6" t="s">
        <v>174</v>
      </c>
      <c r="N152" s="6" t="s">
        <v>175</v>
      </c>
      <c r="O152" s="12">
        <v>6</v>
      </c>
      <c r="P152" s="12">
        <v>299</v>
      </c>
      <c r="Q152" s="13">
        <v>25</v>
      </c>
      <c r="R152" s="5">
        <v>18</v>
      </c>
      <c r="S152" s="4">
        <v>1587.6899999999998</v>
      </c>
      <c r="T152" s="4" t="s">
        <v>54</v>
      </c>
      <c r="U152" s="3" t="s">
        <v>137</v>
      </c>
      <c r="V152" s="2" t="s">
        <v>138</v>
      </c>
    </row>
    <row r="153" spans="1:22" x14ac:dyDescent="0.35">
      <c r="A153" s="1" t="s">
        <v>719</v>
      </c>
      <c r="B153" s="10">
        <v>45417</v>
      </c>
      <c r="C153" s="2" t="s">
        <v>346</v>
      </c>
      <c r="D153" s="2" t="s">
        <v>720</v>
      </c>
      <c r="E153" s="2" t="s">
        <v>721</v>
      </c>
      <c r="F153" s="2" t="s">
        <v>722</v>
      </c>
      <c r="G153" s="2" t="s">
        <v>349</v>
      </c>
      <c r="H153" s="1" t="s">
        <v>209</v>
      </c>
      <c r="I153" s="1" t="s">
        <v>210</v>
      </c>
      <c r="J153" s="1" t="s">
        <v>100</v>
      </c>
      <c r="K153" s="2" t="s">
        <v>101</v>
      </c>
      <c r="L153" s="2" t="s">
        <v>51</v>
      </c>
      <c r="M153" s="2" t="s">
        <v>102</v>
      </c>
      <c r="N153" s="2" t="s">
        <v>103</v>
      </c>
      <c r="O153" s="12">
        <v>3</v>
      </c>
      <c r="P153" s="12">
        <v>0</v>
      </c>
      <c r="Q153" s="14">
        <v>8</v>
      </c>
      <c r="R153" s="1">
        <v>18</v>
      </c>
      <c r="S153" s="4">
        <v>0</v>
      </c>
      <c r="T153" s="4" t="s">
        <v>54</v>
      </c>
      <c r="U153" s="3" t="s">
        <v>116</v>
      </c>
      <c r="V153" s="2" t="s">
        <v>138</v>
      </c>
    </row>
    <row r="154" spans="1:22" x14ac:dyDescent="0.35">
      <c r="A154" s="5" t="s">
        <v>723</v>
      </c>
      <c r="B154" s="10">
        <v>45406</v>
      </c>
      <c r="C154" s="6" t="s">
        <v>346</v>
      </c>
      <c r="D154" s="6" t="s">
        <v>724</v>
      </c>
      <c r="E154" s="6" t="s">
        <v>725</v>
      </c>
      <c r="F154" s="6" t="s">
        <v>726</v>
      </c>
      <c r="G154" s="6" t="s">
        <v>70</v>
      </c>
      <c r="H154" s="5" t="s">
        <v>70</v>
      </c>
      <c r="I154" s="5" t="s">
        <v>71</v>
      </c>
      <c r="J154" s="5" t="s">
        <v>82</v>
      </c>
      <c r="K154" s="6" t="s">
        <v>83</v>
      </c>
      <c r="L154" s="6" t="s">
        <v>84</v>
      </c>
      <c r="M154" s="6" t="s">
        <v>85</v>
      </c>
      <c r="N154" s="6" t="s">
        <v>86</v>
      </c>
      <c r="O154" s="12">
        <v>6</v>
      </c>
      <c r="P154" s="12">
        <v>12000</v>
      </c>
      <c r="Q154" s="13">
        <v>25</v>
      </c>
      <c r="R154" s="5">
        <v>18</v>
      </c>
      <c r="S154" s="4">
        <v>63720</v>
      </c>
      <c r="T154" s="4" t="s">
        <v>1793</v>
      </c>
      <c r="U154" s="6" t="s">
        <v>87</v>
      </c>
      <c r="V154" s="2" t="s">
        <v>95</v>
      </c>
    </row>
    <row r="155" spans="1:22" x14ac:dyDescent="0.35">
      <c r="A155" s="1" t="s">
        <v>727</v>
      </c>
      <c r="B155" s="10">
        <v>45452</v>
      </c>
      <c r="C155" s="2" t="s">
        <v>1784</v>
      </c>
      <c r="D155" s="2" t="s">
        <v>728</v>
      </c>
      <c r="E155" s="2" t="s">
        <v>729</v>
      </c>
      <c r="F155" s="2" t="s">
        <v>730</v>
      </c>
      <c r="G155" s="2" t="s">
        <v>230</v>
      </c>
      <c r="H155" s="1" t="s">
        <v>231</v>
      </c>
      <c r="I155" s="1" t="s">
        <v>24</v>
      </c>
      <c r="J155" s="1" t="s">
        <v>342</v>
      </c>
      <c r="K155" s="2" t="s">
        <v>343</v>
      </c>
      <c r="L155" s="2" t="s">
        <v>84</v>
      </c>
      <c r="M155" s="2" t="s">
        <v>244</v>
      </c>
      <c r="N155" s="2" t="s">
        <v>344</v>
      </c>
      <c r="O155" s="12">
        <v>6</v>
      </c>
      <c r="P155" s="12">
        <v>2200</v>
      </c>
      <c r="Q155" s="14">
        <v>10</v>
      </c>
      <c r="R155" s="1">
        <v>12</v>
      </c>
      <c r="S155" s="4">
        <v>13305.6</v>
      </c>
      <c r="T155" s="4" t="s">
        <v>94</v>
      </c>
      <c r="U155" s="3" t="s">
        <v>87</v>
      </c>
      <c r="V155" s="2" t="s">
        <v>95</v>
      </c>
    </row>
    <row r="156" spans="1:22" x14ac:dyDescent="0.35">
      <c r="A156" s="5" t="s">
        <v>731</v>
      </c>
      <c r="B156" s="10">
        <v>45407</v>
      </c>
      <c r="C156" s="6" t="s">
        <v>1785</v>
      </c>
      <c r="D156" s="6" t="s">
        <v>732</v>
      </c>
      <c r="E156" s="6" t="s">
        <v>733</v>
      </c>
      <c r="F156" s="6" t="s">
        <v>734</v>
      </c>
      <c r="G156" s="6" t="s">
        <v>315</v>
      </c>
      <c r="H156" s="5" t="s">
        <v>256</v>
      </c>
      <c r="I156" s="5" t="s">
        <v>24</v>
      </c>
      <c r="J156" s="5" t="s">
        <v>100</v>
      </c>
      <c r="K156" s="6" t="s">
        <v>101</v>
      </c>
      <c r="L156" s="6" t="s">
        <v>51</v>
      </c>
      <c r="M156" s="6" t="s">
        <v>102</v>
      </c>
      <c r="N156" s="6" t="s">
        <v>103</v>
      </c>
      <c r="O156" s="12">
        <v>1</v>
      </c>
      <c r="P156" s="12">
        <v>2800</v>
      </c>
      <c r="Q156" s="13">
        <v>12</v>
      </c>
      <c r="R156" s="5">
        <v>18</v>
      </c>
      <c r="S156" s="4">
        <v>2907.52</v>
      </c>
      <c r="T156" s="4" t="s">
        <v>1794</v>
      </c>
      <c r="U156" s="3" t="s">
        <v>137</v>
      </c>
      <c r="V156" s="2" t="s">
        <v>138</v>
      </c>
    </row>
    <row r="157" spans="1:22" x14ac:dyDescent="0.35">
      <c r="A157" s="1" t="s">
        <v>735</v>
      </c>
      <c r="B157" s="10">
        <v>45326</v>
      </c>
      <c r="C157" s="2" t="s">
        <v>1773</v>
      </c>
      <c r="D157" s="2" t="s">
        <v>736</v>
      </c>
      <c r="E157" s="2" t="s">
        <v>656</v>
      </c>
      <c r="F157" s="2" t="s">
        <v>737</v>
      </c>
      <c r="G157" s="2" t="s">
        <v>70</v>
      </c>
      <c r="H157" s="1" t="s">
        <v>70</v>
      </c>
      <c r="I157" s="1" t="s">
        <v>71</v>
      </c>
      <c r="J157" s="1" t="s">
        <v>60</v>
      </c>
      <c r="K157" s="2" t="s">
        <v>61</v>
      </c>
      <c r="L157" s="2" t="s">
        <v>62</v>
      </c>
      <c r="M157" s="2" t="s">
        <v>63</v>
      </c>
      <c r="N157" s="2" t="s">
        <v>64</v>
      </c>
      <c r="O157" s="12">
        <v>5</v>
      </c>
      <c r="P157" s="12">
        <v>3500</v>
      </c>
      <c r="Q157" s="14">
        <v>25</v>
      </c>
      <c r="R157" s="1">
        <v>18</v>
      </c>
      <c r="S157" s="4">
        <v>15487.5</v>
      </c>
      <c r="T157" s="4" t="s">
        <v>65</v>
      </c>
      <c r="U157" s="3" t="s">
        <v>87</v>
      </c>
      <c r="V157" s="2" t="s">
        <v>95</v>
      </c>
    </row>
    <row r="158" spans="1:22" x14ac:dyDescent="0.35">
      <c r="A158" s="5" t="s">
        <v>738</v>
      </c>
      <c r="B158" s="10">
        <v>45348</v>
      </c>
      <c r="C158" s="6" t="s">
        <v>1781</v>
      </c>
      <c r="D158" s="6" t="s">
        <v>739</v>
      </c>
      <c r="E158" s="6" t="s">
        <v>340</v>
      </c>
      <c r="F158" s="6" t="s">
        <v>740</v>
      </c>
      <c r="G158" s="6" t="s">
        <v>237</v>
      </c>
      <c r="H158" s="5" t="s">
        <v>23</v>
      </c>
      <c r="I158" s="5" t="s">
        <v>24</v>
      </c>
      <c r="J158" s="5" t="s">
        <v>82</v>
      </c>
      <c r="K158" s="6" t="s">
        <v>83</v>
      </c>
      <c r="L158" s="6" t="s">
        <v>84</v>
      </c>
      <c r="M158" s="6" t="s">
        <v>85</v>
      </c>
      <c r="N158" s="6" t="s">
        <v>86</v>
      </c>
      <c r="O158" s="12">
        <v>9</v>
      </c>
      <c r="P158" s="12">
        <v>12000</v>
      </c>
      <c r="Q158" s="13">
        <v>15</v>
      </c>
      <c r="R158" s="5">
        <v>18</v>
      </c>
      <c r="S158" s="4">
        <v>108324</v>
      </c>
      <c r="T158" s="4" t="s">
        <v>65</v>
      </c>
      <c r="U158" s="6" t="s">
        <v>116</v>
      </c>
      <c r="V158" s="2" t="s">
        <v>95</v>
      </c>
    </row>
    <row r="159" spans="1:22" x14ac:dyDescent="0.35">
      <c r="A159" s="1" t="s">
        <v>741</v>
      </c>
      <c r="B159" s="10">
        <v>45469</v>
      </c>
      <c r="C159" s="2" t="s">
        <v>1780</v>
      </c>
      <c r="D159" s="2" t="s">
        <v>742</v>
      </c>
      <c r="E159" s="2" t="s">
        <v>743</v>
      </c>
      <c r="F159" s="2" t="s">
        <v>744</v>
      </c>
      <c r="G159" s="2" t="s">
        <v>237</v>
      </c>
      <c r="H159" s="1" t="s">
        <v>23</v>
      </c>
      <c r="I159" s="1" t="s">
        <v>24</v>
      </c>
      <c r="J159" s="1" t="s">
        <v>354</v>
      </c>
      <c r="K159" s="2" t="s">
        <v>355</v>
      </c>
      <c r="L159" s="2" t="s">
        <v>62</v>
      </c>
      <c r="M159" s="2" t="s">
        <v>356</v>
      </c>
      <c r="N159" s="2" t="s">
        <v>357</v>
      </c>
      <c r="O159" s="12">
        <v>8</v>
      </c>
      <c r="P159" s="12">
        <v>4500</v>
      </c>
      <c r="Q159" s="14">
        <v>12</v>
      </c>
      <c r="R159" s="1">
        <v>5</v>
      </c>
      <c r="S159" s="4">
        <v>33264</v>
      </c>
      <c r="T159" s="4" t="s">
        <v>65</v>
      </c>
      <c r="U159" s="3" t="s">
        <v>137</v>
      </c>
      <c r="V159" s="2" t="s">
        <v>138</v>
      </c>
    </row>
    <row r="160" spans="1:22" x14ac:dyDescent="0.35">
      <c r="A160" s="5" t="s">
        <v>745</v>
      </c>
      <c r="B160" s="10">
        <v>45359</v>
      </c>
      <c r="C160" s="6" t="s">
        <v>467</v>
      </c>
      <c r="D160" s="6" t="s">
        <v>746</v>
      </c>
      <c r="E160" s="6" t="s">
        <v>747</v>
      </c>
      <c r="F160" s="6" t="s">
        <v>748</v>
      </c>
      <c r="G160" s="6" t="s">
        <v>166</v>
      </c>
      <c r="H160" s="5" t="s">
        <v>167</v>
      </c>
      <c r="I160" s="5" t="s">
        <v>71</v>
      </c>
      <c r="J160" s="5" t="s">
        <v>25</v>
      </c>
      <c r="K160" s="6" t="s">
        <v>26</v>
      </c>
      <c r="L160" s="6" t="s">
        <v>27</v>
      </c>
      <c r="M160" s="6" t="s">
        <v>28</v>
      </c>
      <c r="N160" s="6" t="s">
        <v>29</v>
      </c>
      <c r="O160" s="12">
        <v>6</v>
      </c>
      <c r="P160" s="12">
        <v>450</v>
      </c>
      <c r="Q160" s="13">
        <v>5</v>
      </c>
      <c r="R160" s="5">
        <v>5</v>
      </c>
      <c r="S160" s="4">
        <v>2693.25</v>
      </c>
      <c r="T160" s="4" t="s">
        <v>65</v>
      </c>
      <c r="U160" s="3" t="s">
        <v>87</v>
      </c>
      <c r="V160" s="2" t="s">
        <v>95</v>
      </c>
    </row>
    <row r="161" spans="1:22" x14ac:dyDescent="0.35">
      <c r="A161" s="5" t="s">
        <v>749</v>
      </c>
      <c r="B161" s="10">
        <v>45461</v>
      </c>
      <c r="C161" s="6" t="s">
        <v>458</v>
      </c>
      <c r="D161" s="6" t="s">
        <v>750</v>
      </c>
      <c r="E161" s="6" t="s">
        <v>751</v>
      </c>
      <c r="F161" s="6" t="s">
        <v>752</v>
      </c>
      <c r="G161" s="6" t="s">
        <v>109</v>
      </c>
      <c r="H161" s="5" t="s">
        <v>48</v>
      </c>
      <c r="I161" s="5" t="s">
        <v>24</v>
      </c>
      <c r="J161" s="5" t="s">
        <v>60</v>
      </c>
      <c r="K161" s="6" t="s">
        <v>61</v>
      </c>
      <c r="L161" s="6" t="s">
        <v>62</v>
      </c>
      <c r="M161" s="6" t="s">
        <v>63</v>
      </c>
      <c r="N161" s="6" t="s">
        <v>64</v>
      </c>
      <c r="O161" s="12">
        <v>9</v>
      </c>
      <c r="P161" s="12">
        <v>3500</v>
      </c>
      <c r="Q161" s="14">
        <v>12</v>
      </c>
      <c r="R161" s="5">
        <v>18</v>
      </c>
      <c r="S161" s="4">
        <v>32709.599999999999</v>
      </c>
      <c r="T161" s="4" t="s">
        <v>1793</v>
      </c>
      <c r="U161" s="3" t="s">
        <v>87</v>
      </c>
      <c r="V161" s="2" t="s">
        <v>95</v>
      </c>
    </row>
    <row r="162" spans="1:22" x14ac:dyDescent="0.35">
      <c r="A162" s="1" t="s">
        <v>753</v>
      </c>
      <c r="B162" s="10">
        <v>45408</v>
      </c>
      <c r="C162" s="2" t="s">
        <v>537</v>
      </c>
      <c r="D162" s="2" t="s">
        <v>754</v>
      </c>
      <c r="E162" s="2" t="s">
        <v>352</v>
      </c>
      <c r="F162" s="2" t="s">
        <v>755</v>
      </c>
      <c r="G162" s="2" t="s">
        <v>349</v>
      </c>
      <c r="H162" s="1" t="s">
        <v>209</v>
      </c>
      <c r="I162" s="1" t="s">
        <v>210</v>
      </c>
      <c r="J162" s="1" t="s">
        <v>60</v>
      </c>
      <c r="K162" s="2" t="s">
        <v>61</v>
      </c>
      <c r="L162" s="2" t="s">
        <v>62</v>
      </c>
      <c r="M162" s="2" t="s">
        <v>63</v>
      </c>
      <c r="N162" s="2" t="s">
        <v>64</v>
      </c>
      <c r="O162" s="12">
        <v>6</v>
      </c>
      <c r="P162" s="12">
        <v>3500</v>
      </c>
      <c r="Q162" s="13">
        <v>10</v>
      </c>
      <c r="R162" s="1">
        <v>18</v>
      </c>
      <c r="S162" s="4">
        <v>22302</v>
      </c>
      <c r="T162" s="4" t="s">
        <v>1793</v>
      </c>
      <c r="U162" s="3" t="s">
        <v>137</v>
      </c>
      <c r="V162" s="2" t="s">
        <v>95</v>
      </c>
    </row>
    <row r="163" spans="1:22" x14ac:dyDescent="0.35">
      <c r="A163" s="5" t="s">
        <v>756</v>
      </c>
      <c r="B163" s="10">
        <v>45327</v>
      </c>
      <c r="C163" s="6" t="s">
        <v>177</v>
      </c>
      <c r="D163" s="6" t="s">
        <v>757</v>
      </c>
      <c r="E163" s="6" t="s">
        <v>758</v>
      </c>
      <c r="F163" s="6" t="s">
        <v>759</v>
      </c>
      <c r="G163" s="6" t="s">
        <v>36</v>
      </c>
      <c r="H163" s="5" t="s">
        <v>37</v>
      </c>
      <c r="I163" s="5" t="s">
        <v>38</v>
      </c>
      <c r="J163" s="5" t="s">
        <v>60</v>
      </c>
      <c r="K163" s="6" t="s">
        <v>61</v>
      </c>
      <c r="L163" s="6" t="s">
        <v>62</v>
      </c>
      <c r="M163" s="6" t="s">
        <v>63</v>
      </c>
      <c r="N163" s="6" t="s">
        <v>64</v>
      </c>
      <c r="O163" s="12">
        <v>2</v>
      </c>
      <c r="P163" s="12">
        <v>3500</v>
      </c>
      <c r="Q163" s="14">
        <v>15</v>
      </c>
      <c r="R163" s="5">
        <v>18</v>
      </c>
      <c r="S163" s="4">
        <v>7021</v>
      </c>
      <c r="T163" s="4" t="s">
        <v>294</v>
      </c>
      <c r="U163" s="6" t="s">
        <v>137</v>
      </c>
      <c r="V163" s="2" t="s">
        <v>138</v>
      </c>
    </row>
    <row r="164" spans="1:22" x14ac:dyDescent="0.35">
      <c r="A164" s="1" t="s">
        <v>760</v>
      </c>
      <c r="B164" s="10">
        <v>45302</v>
      </c>
      <c r="C164" s="2" t="s">
        <v>1778</v>
      </c>
      <c r="D164" s="2" t="s">
        <v>761</v>
      </c>
      <c r="E164" s="2" t="s">
        <v>325</v>
      </c>
      <c r="F164" s="2" t="s">
        <v>762</v>
      </c>
      <c r="G164" s="2" t="s">
        <v>349</v>
      </c>
      <c r="H164" s="1" t="s">
        <v>209</v>
      </c>
      <c r="I164" s="1" t="s">
        <v>210</v>
      </c>
      <c r="J164" s="1" t="s">
        <v>172</v>
      </c>
      <c r="K164" s="2" t="s">
        <v>173</v>
      </c>
      <c r="L164" s="2" t="s">
        <v>84</v>
      </c>
      <c r="M164" s="2" t="s">
        <v>174</v>
      </c>
      <c r="N164" s="2" t="s">
        <v>175</v>
      </c>
      <c r="O164" s="12">
        <v>2</v>
      </c>
      <c r="P164" s="12">
        <v>299</v>
      </c>
      <c r="Q164" s="13">
        <v>80</v>
      </c>
      <c r="R164" s="1">
        <v>18</v>
      </c>
      <c r="S164" s="4">
        <v>141.12799999999996</v>
      </c>
      <c r="T164" s="4" t="s">
        <v>65</v>
      </c>
      <c r="U164" s="3" t="s">
        <v>30</v>
      </c>
      <c r="V164" s="2" t="s">
        <v>138</v>
      </c>
    </row>
    <row r="165" spans="1:22" x14ac:dyDescent="0.35">
      <c r="A165" s="5" t="s">
        <v>763</v>
      </c>
      <c r="B165" s="10">
        <v>45334</v>
      </c>
      <c r="C165" s="6" t="s">
        <v>1766</v>
      </c>
      <c r="D165" s="6" t="s">
        <v>764</v>
      </c>
      <c r="E165" s="6" t="s">
        <v>213</v>
      </c>
      <c r="F165" s="6" t="s">
        <v>765</v>
      </c>
      <c r="G165" s="6" t="s">
        <v>109</v>
      </c>
      <c r="H165" s="5" t="s">
        <v>48</v>
      </c>
      <c r="I165" s="5" t="s">
        <v>24</v>
      </c>
      <c r="J165" s="5" t="s">
        <v>100</v>
      </c>
      <c r="K165" s="6" t="s">
        <v>101</v>
      </c>
      <c r="L165" s="6" t="s">
        <v>51</v>
      </c>
      <c r="M165" s="6" t="s">
        <v>102</v>
      </c>
      <c r="N165" s="6" t="s">
        <v>103</v>
      </c>
      <c r="O165" s="12">
        <v>10</v>
      </c>
      <c r="P165" s="12">
        <v>2800</v>
      </c>
      <c r="Q165" s="14">
        <v>8</v>
      </c>
      <c r="R165" s="5">
        <v>18</v>
      </c>
      <c r="S165" s="4">
        <v>30396.799999999999</v>
      </c>
      <c r="T165" s="4" t="s">
        <v>54</v>
      </c>
      <c r="U165" s="3" t="s">
        <v>87</v>
      </c>
      <c r="V165" s="2" t="s">
        <v>138</v>
      </c>
    </row>
    <row r="166" spans="1:22" x14ac:dyDescent="0.35">
      <c r="A166" s="1" t="s">
        <v>766</v>
      </c>
      <c r="B166" s="10">
        <v>45303</v>
      </c>
      <c r="C166" s="2" t="s">
        <v>105</v>
      </c>
      <c r="D166" s="2" t="s">
        <v>767</v>
      </c>
      <c r="E166" s="2" t="s">
        <v>768</v>
      </c>
      <c r="F166" s="2" t="s">
        <v>769</v>
      </c>
      <c r="G166" s="2" t="s">
        <v>109</v>
      </c>
      <c r="H166" s="1" t="s">
        <v>48</v>
      </c>
      <c r="I166" s="1" t="s">
        <v>38</v>
      </c>
      <c r="J166" s="1" t="s">
        <v>276</v>
      </c>
      <c r="K166" s="2" t="s">
        <v>277</v>
      </c>
      <c r="L166" s="2" t="s">
        <v>51</v>
      </c>
      <c r="M166" s="2" t="s">
        <v>102</v>
      </c>
      <c r="N166" s="2" t="s">
        <v>278</v>
      </c>
      <c r="O166" s="12">
        <v>9</v>
      </c>
      <c r="P166" s="12">
        <v>1500</v>
      </c>
      <c r="Q166" s="13">
        <v>0</v>
      </c>
      <c r="R166" s="1">
        <v>18</v>
      </c>
      <c r="S166" s="4">
        <v>15930</v>
      </c>
      <c r="T166" s="4" t="s">
        <v>94</v>
      </c>
      <c r="U166" s="3" t="s">
        <v>137</v>
      </c>
      <c r="V166" s="2" t="s">
        <v>95</v>
      </c>
    </row>
    <row r="167" spans="1:22" x14ac:dyDescent="0.35">
      <c r="A167" s="5" t="s">
        <v>770</v>
      </c>
      <c r="B167" s="10">
        <v>45319</v>
      </c>
      <c r="C167" s="6" t="s">
        <v>1786</v>
      </c>
      <c r="D167" s="6" t="s">
        <v>771</v>
      </c>
      <c r="E167" s="6" t="s">
        <v>772</v>
      </c>
      <c r="F167" s="6" t="s">
        <v>773</v>
      </c>
      <c r="G167" s="6" t="s">
        <v>109</v>
      </c>
      <c r="H167" s="5" t="s">
        <v>48</v>
      </c>
      <c r="I167" s="5" t="s">
        <v>24</v>
      </c>
      <c r="J167" s="5" t="s">
        <v>133</v>
      </c>
      <c r="K167" s="6" t="s">
        <v>134</v>
      </c>
      <c r="L167" s="6" t="s">
        <v>51</v>
      </c>
      <c r="M167" s="6" t="s">
        <v>135</v>
      </c>
      <c r="N167" s="6" t="s">
        <v>136</v>
      </c>
      <c r="O167" s="12">
        <v>9</v>
      </c>
      <c r="P167" s="12">
        <v>55000</v>
      </c>
      <c r="Q167" s="14">
        <v>5</v>
      </c>
      <c r="R167" s="5">
        <v>18</v>
      </c>
      <c r="S167" s="4">
        <v>554895</v>
      </c>
      <c r="T167" s="4" t="s">
        <v>1793</v>
      </c>
      <c r="U167" s="3" t="s">
        <v>137</v>
      </c>
      <c r="V167" s="2" t="s">
        <v>95</v>
      </c>
    </row>
    <row r="168" spans="1:22" x14ac:dyDescent="0.35">
      <c r="A168" s="1" t="s">
        <v>774</v>
      </c>
      <c r="B168" s="10">
        <v>45406</v>
      </c>
      <c r="C168" s="2" t="s">
        <v>1786</v>
      </c>
      <c r="D168" s="2" t="s">
        <v>775</v>
      </c>
      <c r="E168" s="2" t="s">
        <v>772</v>
      </c>
      <c r="F168" s="2" t="s">
        <v>776</v>
      </c>
      <c r="G168" s="2" t="s">
        <v>80</v>
      </c>
      <c r="H168" s="1" t="s">
        <v>81</v>
      </c>
      <c r="I168" s="1" t="s">
        <v>24</v>
      </c>
      <c r="J168" s="1" t="s">
        <v>300</v>
      </c>
      <c r="K168" s="2" t="s">
        <v>301</v>
      </c>
      <c r="L168" s="2" t="s">
        <v>62</v>
      </c>
      <c r="M168" s="2" t="s">
        <v>302</v>
      </c>
      <c r="N168" s="2" t="s">
        <v>303</v>
      </c>
      <c r="O168" s="12">
        <v>3</v>
      </c>
      <c r="P168" s="12">
        <v>4800</v>
      </c>
      <c r="Q168" s="13">
        <v>15</v>
      </c>
      <c r="R168" s="1">
        <v>18</v>
      </c>
      <c r="S168" s="4">
        <v>14443.199999999999</v>
      </c>
      <c r="T168" s="4" t="s">
        <v>54</v>
      </c>
      <c r="U168" s="2" t="s">
        <v>87</v>
      </c>
      <c r="V168" s="2" t="s">
        <v>95</v>
      </c>
    </row>
    <row r="169" spans="1:22" x14ac:dyDescent="0.35">
      <c r="A169" s="5" t="s">
        <v>777</v>
      </c>
      <c r="B169" s="10">
        <v>45336</v>
      </c>
      <c r="C169" s="6" t="s">
        <v>1773</v>
      </c>
      <c r="D169" s="6" t="s">
        <v>778</v>
      </c>
      <c r="E169" s="6" t="s">
        <v>429</v>
      </c>
      <c r="F169" s="6" t="s">
        <v>779</v>
      </c>
      <c r="G169" s="6" t="s">
        <v>150</v>
      </c>
      <c r="H169" s="5" t="s">
        <v>93</v>
      </c>
      <c r="I169" s="5" t="s">
        <v>38</v>
      </c>
      <c r="J169" s="5" t="s">
        <v>201</v>
      </c>
      <c r="K169" s="6" t="s">
        <v>202</v>
      </c>
      <c r="L169" s="6" t="s">
        <v>51</v>
      </c>
      <c r="M169" s="6" t="s">
        <v>203</v>
      </c>
      <c r="N169" s="6" t="s">
        <v>204</v>
      </c>
      <c r="O169" s="12">
        <v>2</v>
      </c>
      <c r="P169" s="12">
        <v>280</v>
      </c>
      <c r="Q169" s="14">
        <v>20</v>
      </c>
      <c r="R169" s="5">
        <v>5</v>
      </c>
      <c r="S169" s="4">
        <v>470.40000000000003</v>
      </c>
      <c r="T169" s="4" t="s">
        <v>1794</v>
      </c>
      <c r="U169" s="3" t="s">
        <v>116</v>
      </c>
      <c r="V169" s="2" t="s">
        <v>95</v>
      </c>
    </row>
    <row r="170" spans="1:22" x14ac:dyDescent="0.35">
      <c r="A170" s="1" t="s">
        <v>780</v>
      </c>
      <c r="B170" s="10">
        <v>45364</v>
      </c>
      <c r="C170" s="2" t="s">
        <v>233</v>
      </c>
      <c r="D170" s="2" t="s">
        <v>1788</v>
      </c>
      <c r="E170" s="2" t="s">
        <v>418</v>
      </c>
      <c r="F170" s="2" t="s">
        <v>781</v>
      </c>
      <c r="G170" s="2" t="s">
        <v>92</v>
      </c>
      <c r="H170" s="1" t="s">
        <v>93</v>
      </c>
      <c r="I170" s="1" t="s">
        <v>675</v>
      </c>
      <c r="J170" s="1" t="s">
        <v>72</v>
      </c>
      <c r="K170" s="2" t="s">
        <v>73</v>
      </c>
      <c r="L170" s="2" t="s">
        <v>51</v>
      </c>
      <c r="M170" s="2" t="s">
        <v>52</v>
      </c>
      <c r="N170" s="2" t="s">
        <v>74</v>
      </c>
      <c r="O170" s="12">
        <v>3</v>
      </c>
      <c r="P170" s="12">
        <v>14000</v>
      </c>
      <c r="Q170" s="13">
        <v>20</v>
      </c>
      <c r="R170" s="1">
        <v>18</v>
      </c>
      <c r="S170" s="4">
        <v>39648</v>
      </c>
      <c r="T170" s="4" t="s">
        <v>94</v>
      </c>
      <c r="U170" s="2" t="s">
        <v>87</v>
      </c>
      <c r="V170" s="2" t="s">
        <v>138</v>
      </c>
    </row>
    <row r="171" spans="1:22" x14ac:dyDescent="0.35">
      <c r="A171" s="5" t="s">
        <v>782</v>
      </c>
      <c r="B171" s="10">
        <v>45466</v>
      </c>
      <c r="C171" s="6" t="s">
        <v>56</v>
      </c>
      <c r="D171" s="6" t="s">
        <v>783</v>
      </c>
      <c r="E171" s="6" t="s">
        <v>784</v>
      </c>
      <c r="F171" s="6" t="s">
        <v>785</v>
      </c>
      <c r="G171" s="6" t="s">
        <v>109</v>
      </c>
      <c r="H171" s="5" t="s">
        <v>48</v>
      </c>
      <c r="I171" s="5" t="s">
        <v>24</v>
      </c>
      <c r="J171" s="5" t="s">
        <v>242</v>
      </c>
      <c r="K171" s="6" t="s">
        <v>243</v>
      </c>
      <c r="L171" s="6" t="s">
        <v>84</v>
      </c>
      <c r="M171" s="6" t="s">
        <v>244</v>
      </c>
      <c r="N171" s="6" t="s">
        <v>245</v>
      </c>
      <c r="O171" s="12">
        <v>2</v>
      </c>
      <c r="P171" s="12">
        <v>3200</v>
      </c>
      <c r="Q171" s="14">
        <v>12</v>
      </c>
      <c r="R171" s="5">
        <v>18</v>
      </c>
      <c r="S171" s="4">
        <v>6645.7599999999993</v>
      </c>
      <c r="T171" s="4" t="s">
        <v>294</v>
      </c>
      <c r="U171" s="3" t="s">
        <v>137</v>
      </c>
      <c r="V171" s="2" t="s">
        <v>95</v>
      </c>
    </row>
    <row r="172" spans="1:22" x14ac:dyDescent="0.35">
      <c r="A172" s="1" t="s">
        <v>786</v>
      </c>
      <c r="B172" s="10">
        <v>45419</v>
      </c>
      <c r="C172" s="2" t="s">
        <v>1763</v>
      </c>
      <c r="D172" s="2" t="s">
        <v>787</v>
      </c>
      <c r="E172" s="2" t="s">
        <v>788</v>
      </c>
      <c r="F172" s="2" t="s">
        <v>789</v>
      </c>
      <c r="G172" s="2" t="s">
        <v>550</v>
      </c>
      <c r="H172" s="1" t="s">
        <v>37</v>
      </c>
      <c r="I172" s="1" t="s">
        <v>38</v>
      </c>
      <c r="J172" s="1" t="s">
        <v>242</v>
      </c>
      <c r="K172" s="2" t="s">
        <v>243</v>
      </c>
      <c r="L172" s="2" t="s">
        <v>84</v>
      </c>
      <c r="M172" s="2" t="s">
        <v>244</v>
      </c>
      <c r="N172" s="2" t="s">
        <v>245</v>
      </c>
      <c r="O172" s="12">
        <v>4</v>
      </c>
      <c r="P172" s="12">
        <v>3200</v>
      </c>
      <c r="Q172" s="13">
        <v>8</v>
      </c>
      <c r="R172" s="1">
        <v>18</v>
      </c>
      <c r="S172" s="4">
        <v>13895.679999999998</v>
      </c>
      <c r="T172" s="4" t="s">
        <v>1794</v>
      </c>
      <c r="U172" s="2" t="s">
        <v>116</v>
      </c>
      <c r="V172" s="2" t="s">
        <v>95</v>
      </c>
    </row>
    <row r="173" spans="1:22" x14ac:dyDescent="0.35">
      <c r="A173" s="5" t="s">
        <v>790</v>
      </c>
      <c r="B173" s="10">
        <v>45422</v>
      </c>
      <c r="C173" s="6" t="s">
        <v>262</v>
      </c>
      <c r="D173" s="6" t="s">
        <v>791</v>
      </c>
      <c r="E173" s="6" t="s">
        <v>792</v>
      </c>
      <c r="F173" s="6" t="s">
        <v>793</v>
      </c>
      <c r="G173" s="6" t="s">
        <v>349</v>
      </c>
      <c r="H173" s="5" t="s">
        <v>209</v>
      </c>
      <c r="I173" s="5" t="s">
        <v>210</v>
      </c>
      <c r="J173" s="5" t="s">
        <v>39</v>
      </c>
      <c r="K173" s="6" t="s">
        <v>40</v>
      </c>
      <c r="L173" s="6" t="s">
        <v>41</v>
      </c>
      <c r="M173" s="6" t="s">
        <v>42</v>
      </c>
      <c r="N173" s="6" t="s">
        <v>43</v>
      </c>
      <c r="O173" s="12">
        <v>1</v>
      </c>
      <c r="P173" s="12">
        <v>25000</v>
      </c>
      <c r="Q173" s="14">
        <v>15</v>
      </c>
      <c r="R173" s="5">
        <v>3</v>
      </c>
      <c r="S173" s="4">
        <v>21887.5</v>
      </c>
      <c r="T173" s="4" t="s">
        <v>1794</v>
      </c>
      <c r="U173" s="3" t="s">
        <v>137</v>
      </c>
      <c r="V173" s="2" t="s">
        <v>95</v>
      </c>
    </row>
    <row r="174" spans="1:22" x14ac:dyDescent="0.35">
      <c r="A174" s="1" t="s">
        <v>794</v>
      </c>
      <c r="B174" s="10">
        <v>45360</v>
      </c>
      <c r="C174" s="2" t="s">
        <v>525</v>
      </c>
      <c r="D174" s="2" t="s">
        <v>795</v>
      </c>
      <c r="E174" s="2" t="s">
        <v>796</v>
      </c>
      <c r="F174" s="2" t="s">
        <v>797</v>
      </c>
      <c r="G174" s="2" t="s">
        <v>315</v>
      </c>
      <c r="H174" s="1" t="s">
        <v>256</v>
      </c>
      <c r="I174" s="1" t="s">
        <v>210</v>
      </c>
      <c r="J174" s="1" t="s">
        <v>266</v>
      </c>
      <c r="K174" s="2" t="s">
        <v>267</v>
      </c>
      <c r="L174" s="2" t="s">
        <v>62</v>
      </c>
      <c r="M174" s="2" t="s">
        <v>63</v>
      </c>
      <c r="N174" s="2" t="s">
        <v>268</v>
      </c>
      <c r="O174" s="12">
        <v>9</v>
      </c>
      <c r="P174" s="12">
        <v>0</v>
      </c>
      <c r="Q174" s="13">
        <v>5</v>
      </c>
      <c r="R174" s="1">
        <v>18</v>
      </c>
      <c r="S174" s="4">
        <v>0</v>
      </c>
      <c r="T174" s="4" t="s">
        <v>94</v>
      </c>
      <c r="U174" s="2" t="s">
        <v>195</v>
      </c>
      <c r="V174" s="2" t="s">
        <v>95</v>
      </c>
    </row>
    <row r="175" spans="1:22" x14ac:dyDescent="0.35">
      <c r="A175" s="5" t="s">
        <v>798</v>
      </c>
      <c r="B175" s="10">
        <v>45399</v>
      </c>
      <c r="C175" s="6" t="s">
        <v>1782</v>
      </c>
      <c r="D175" s="6" t="s">
        <v>799</v>
      </c>
      <c r="E175" s="6" t="s">
        <v>800</v>
      </c>
      <c r="F175" s="6" t="s">
        <v>801</v>
      </c>
      <c r="G175" s="6" t="s">
        <v>80</v>
      </c>
      <c r="H175" s="5" t="s">
        <v>81</v>
      </c>
      <c r="I175" s="5" t="s">
        <v>24</v>
      </c>
      <c r="J175" s="5" t="s">
        <v>266</v>
      </c>
      <c r="K175" s="6" t="s">
        <v>267</v>
      </c>
      <c r="L175" s="6" t="s">
        <v>62</v>
      </c>
      <c r="M175" s="6" t="s">
        <v>63</v>
      </c>
      <c r="N175" s="6" t="s">
        <v>268</v>
      </c>
      <c r="O175" s="12">
        <v>4</v>
      </c>
      <c r="P175" s="12">
        <v>8500</v>
      </c>
      <c r="Q175" s="14">
        <v>20</v>
      </c>
      <c r="R175" s="5">
        <v>18</v>
      </c>
      <c r="S175" s="4">
        <v>32096</v>
      </c>
      <c r="T175" s="4" t="s">
        <v>65</v>
      </c>
      <c r="U175" s="6" t="s">
        <v>137</v>
      </c>
      <c r="V175" s="2" t="s">
        <v>95</v>
      </c>
    </row>
    <row r="176" spans="1:22" x14ac:dyDescent="0.35">
      <c r="A176" s="1" t="s">
        <v>802</v>
      </c>
      <c r="B176" s="10">
        <v>45323</v>
      </c>
      <c r="C176" s="2" t="s">
        <v>1776</v>
      </c>
      <c r="D176" s="2" t="s">
        <v>803</v>
      </c>
      <c r="E176" s="2" t="s">
        <v>804</v>
      </c>
      <c r="F176" s="2" t="s">
        <v>805</v>
      </c>
      <c r="G176" s="2" t="s">
        <v>36</v>
      </c>
      <c r="H176" s="1" t="s">
        <v>37</v>
      </c>
      <c r="I176" s="1" t="s">
        <v>38</v>
      </c>
      <c r="J176" s="1" t="s">
        <v>60</v>
      </c>
      <c r="K176" s="2" t="s">
        <v>61</v>
      </c>
      <c r="L176" s="2" t="s">
        <v>62</v>
      </c>
      <c r="M176" s="2" t="s">
        <v>63</v>
      </c>
      <c r="N176" s="2" t="s">
        <v>64</v>
      </c>
      <c r="O176" s="12">
        <v>5</v>
      </c>
      <c r="P176" s="12">
        <v>3500</v>
      </c>
      <c r="Q176" s="13">
        <v>15</v>
      </c>
      <c r="R176" s="1">
        <v>18</v>
      </c>
      <c r="S176" s="4">
        <v>17552.5</v>
      </c>
      <c r="T176" s="4" t="s">
        <v>1793</v>
      </c>
      <c r="U176" s="2" t="s">
        <v>137</v>
      </c>
      <c r="V176" s="2" t="s">
        <v>138</v>
      </c>
    </row>
    <row r="177" spans="1:22" x14ac:dyDescent="0.35">
      <c r="A177" s="5" t="s">
        <v>806</v>
      </c>
      <c r="B177" s="10">
        <v>45310</v>
      </c>
      <c r="C177" s="6" t="s">
        <v>296</v>
      </c>
      <c r="D177" s="6" t="s">
        <v>807</v>
      </c>
      <c r="E177" s="6" t="s">
        <v>808</v>
      </c>
      <c r="F177" s="6" t="s">
        <v>809</v>
      </c>
      <c r="G177" s="6" t="s">
        <v>349</v>
      </c>
      <c r="H177" s="5" t="s">
        <v>209</v>
      </c>
      <c r="I177" s="5" t="s">
        <v>210</v>
      </c>
      <c r="J177" s="5" t="s">
        <v>257</v>
      </c>
      <c r="K177" s="6" t="s">
        <v>258</v>
      </c>
      <c r="L177" s="6" t="s">
        <v>62</v>
      </c>
      <c r="M177" s="6" t="s">
        <v>259</v>
      </c>
      <c r="N177" s="6" t="s">
        <v>260</v>
      </c>
      <c r="O177" s="12">
        <v>2</v>
      </c>
      <c r="P177" s="12">
        <v>3500</v>
      </c>
      <c r="Q177" s="14">
        <v>8</v>
      </c>
      <c r="R177" s="5">
        <v>5</v>
      </c>
      <c r="S177" s="4">
        <v>6762</v>
      </c>
      <c r="T177" s="4" t="s">
        <v>294</v>
      </c>
      <c r="U177" s="3" t="s">
        <v>116</v>
      </c>
      <c r="V177" s="2" t="s">
        <v>138</v>
      </c>
    </row>
    <row r="178" spans="1:22" x14ac:dyDescent="0.35">
      <c r="A178" s="1" t="s">
        <v>810</v>
      </c>
      <c r="B178" s="10">
        <v>45393</v>
      </c>
      <c r="C178" s="2" t="s">
        <v>177</v>
      </c>
      <c r="D178" s="2" t="s">
        <v>811</v>
      </c>
      <c r="E178" s="2" t="s">
        <v>179</v>
      </c>
      <c r="F178" s="2" t="s">
        <v>812</v>
      </c>
      <c r="G178" s="2" t="s">
        <v>349</v>
      </c>
      <c r="H178" s="1" t="s">
        <v>209</v>
      </c>
      <c r="I178" s="1" t="s">
        <v>210</v>
      </c>
      <c r="J178" s="1" t="s">
        <v>133</v>
      </c>
      <c r="K178" s="2" t="s">
        <v>134</v>
      </c>
      <c r="L178" s="2" t="s">
        <v>51</v>
      </c>
      <c r="M178" s="2" t="s">
        <v>135</v>
      </c>
      <c r="N178" s="2" t="s">
        <v>136</v>
      </c>
      <c r="O178" s="12">
        <v>9</v>
      </c>
      <c r="P178" s="12">
        <v>55000</v>
      </c>
      <c r="Q178" s="13">
        <v>10</v>
      </c>
      <c r="R178" s="1">
        <v>18</v>
      </c>
      <c r="S178" s="4">
        <v>525690</v>
      </c>
      <c r="T178" s="4" t="s">
        <v>94</v>
      </c>
      <c r="U178" s="2" t="s">
        <v>30</v>
      </c>
      <c r="V178" s="2" t="s">
        <v>95</v>
      </c>
    </row>
    <row r="179" spans="1:22" x14ac:dyDescent="0.35">
      <c r="A179" s="5" t="s">
        <v>813</v>
      </c>
      <c r="B179" s="10">
        <v>45361</v>
      </c>
      <c r="C179" s="6" t="s">
        <v>1777</v>
      </c>
      <c r="D179" s="6" t="s">
        <v>814</v>
      </c>
      <c r="E179" s="6" t="s">
        <v>228</v>
      </c>
      <c r="F179" s="6" t="s">
        <v>815</v>
      </c>
      <c r="G179" s="6" t="s">
        <v>70</v>
      </c>
      <c r="H179" s="5" t="s">
        <v>70</v>
      </c>
      <c r="I179" s="5" t="s">
        <v>71</v>
      </c>
      <c r="J179" s="5" t="s">
        <v>72</v>
      </c>
      <c r="K179" s="6" t="s">
        <v>73</v>
      </c>
      <c r="L179" s="6" t="s">
        <v>51</v>
      </c>
      <c r="M179" s="6" t="s">
        <v>52</v>
      </c>
      <c r="N179" s="6" t="s">
        <v>74</v>
      </c>
      <c r="O179" s="12">
        <v>4</v>
      </c>
      <c r="P179" s="12">
        <v>14000</v>
      </c>
      <c r="Q179" s="14">
        <v>80</v>
      </c>
      <c r="R179" s="5">
        <v>18</v>
      </c>
      <c r="S179" s="4">
        <v>13215.999999999996</v>
      </c>
      <c r="T179" s="4" t="s">
        <v>65</v>
      </c>
      <c r="U179" s="3" t="s">
        <v>137</v>
      </c>
      <c r="V179" s="2" t="s">
        <v>138</v>
      </c>
    </row>
    <row r="180" spans="1:22" x14ac:dyDescent="0.35">
      <c r="A180" s="1" t="s">
        <v>816</v>
      </c>
      <c r="B180" s="10">
        <v>45294</v>
      </c>
      <c r="C180" s="2" t="s">
        <v>1786</v>
      </c>
      <c r="D180" s="2" t="s">
        <v>817</v>
      </c>
      <c r="E180" s="2" t="s">
        <v>818</v>
      </c>
      <c r="F180" s="2" t="s">
        <v>819</v>
      </c>
      <c r="G180" s="2" t="s">
        <v>109</v>
      </c>
      <c r="H180" s="1" t="s">
        <v>48</v>
      </c>
      <c r="I180" s="1" t="s">
        <v>24</v>
      </c>
      <c r="J180" s="1" t="s">
        <v>201</v>
      </c>
      <c r="K180" s="2" t="s">
        <v>202</v>
      </c>
      <c r="L180" s="2" t="s">
        <v>27</v>
      </c>
      <c r="M180" s="2" t="s">
        <v>203</v>
      </c>
      <c r="N180" s="2" t="s">
        <v>204</v>
      </c>
      <c r="O180" s="12">
        <v>2</v>
      </c>
      <c r="P180" s="12">
        <v>280</v>
      </c>
      <c r="Q180" s="13">
        <v>0</v>
      </c>
      <c r="R180" s="1">
        <v>5</v>
      </c>
      <c r="S180" s="4">
        <v>588</v>
      </c>
      <c r="T180" s="4" t="s">
        <v>1794</v>
      </c>
      <c r="U180" s="3" t="s">
        <v>137</v>
      </c>
      <c r="V180" s="2" t="s">
        <v>138</v>
      </c>
    </row>
    <row r="181" spans="1:22" x14ac:dyDescent="0.35">
      <c r="A181" s="5" t="s">
        <v>820</v>
      </c>
      <c r="B181" s="10">
        <v>45364</v>
      </c>
      <c r="C181" s="6" t="s">
        <v>233</v>
      </c>
      <c r="D181" s="6" t="s">
        <v>821</v>
      </c>
      <c r="E181" s="6" t="s">
        <v>822</v>
      </c>
      <c r="F181" s="6" t="s">
        <v>823</v>
      </c>
      <c r="G181" s="6" t="s">
        <v>349</v>
      </c>
      <c r="H181" s="5" t="s">
        <v>209</v>
      </c>
      <c r="I181" s="5" t="s">
        <v>210</v>
      </c>
      <c r="J181" s="5" t="s">
        <v>184</v>
      </c>
      <c r="K181" s="6" t="s">
        <v>185</v>
      </c>
      <c r="L181" s="6" t="s">
        <v>51</v>
      </c>
      <c r="M181" s="6" t="s">
        <v>186</v>
      </c>
      <c r="N181" s="6" t="s">
        <v>74</v>
      </c>
      <c r="O181" s="12">
        <v>4</v>
      </c>
      <c r="P181" s="12">
        <v>35000</v>
      </c>
      <c r="Q181" s="14">
        <v>12</v>
      </c>
      <c r="R181" s="5">
        <v>18</v>
      </c>
      <c r="S181" s="4">
        <v>145376</v>
      </c>
      <c r="T181" s="4" t="s">
        <v>294</v>
      </c>
      <c r="U181" s="3" t="s">
        <v>30</v>
      </c>
      <c r="V181" s="2" t="s">
        <v>138</v>
      </c>
    </row>
    <row r="182" spans="1:22" x14ac:dyDescent="0.35">
      <c r="A182" s="5" t="s">
        <v>824</v>
      </c>
      <c r="B182" s="10">
        <v>45419</v>
      </c>
      <c r="C182" s="6" t="s">
        <v>1763</v>
      </c>
      <c r="D182" s="6" t="s">
        <v>825</v>
      </c>
      <c r="E182" s="6" t="s">
        <v>826</v>
      </c>
      <c r="F182" s="6" t="s">
        <v>827</v>
      </c>
      <c r="G182" s="6" t="s">
        <v>349</v>
      </c>
      <c r="H182" s="5" t="s">
        <v>209</v>
      </c>
      <c r="I182" s="5" t="s">
        <v>210</v>
      </c>
      <c r="J182" s="5" t="s">
        <v>172</v>
      </c>
      <c r="K182" s="6" t="s">
        <v>173</v>
      </c>
      <c r="L182" s="6" t="s">
        <v>84</v>
      </c>
      <c r="M182" s="6" t="s">
        <v>174</v>
      </c>
      <c r="N182" s="6" t="s">
        <v>175</v>
      </c>
      <c r="O182" s="12">
        <v>1</v>
      </c>
      <c r="P182" s="12">
        <v>299</v>
      </c>
      <c r="Q182" s="13">
        <v>0</v>
      </c>
      <c r="R182" s="5">
        <v>18</v>
      </c>
      <c r="S182" s="4">
        <v>352.82</v>
      </c>
      <c r="T182" s="4" t="s">
        <v>1793</v>
      </c>
      <c r="U182" s="3" t="s">
        <v>137</v>
      </c>
      <c r="V182" s="2" t="s">
        <v>138</v>
      </c>
    </row>
    <row r="183" spans="1:22" x14ac:dyDescent="0.35">
      <c r="A183" s="1" t="s">
        <v>828</v>
      </c>
      <c r="B183" s="10">
        <v>45413</v>
      </c>
      <c r="C183" s="2" t="s">
        <v>1787</v>
      </c>
      <c r="D183" s="2" t="s">
        <v>829</v>
      </c>
      <c r="E183" s="2" t="s">
        <v>830</v>
      </c>
      <c r="F183" s="2" t="s">
        <v>831</v>
      </c>
      <c r="G183" s="2" t="s">
        <v>36</v>
      </c>
      <c r="H183" s="1" t="s">
        <v>37</v>
      </c>
      <c r="I183" s="1" t="s">
        <v>38</v>
      </c>
      <c r="J183" s="1" t="s">
        <v>354</v>
      </c>
      <c r="K183" s="2" t="s">
        <v>355</v>
      </c>
      <c r="L183" s="2" t="s">
        <v>62</v>
      </c>
      <c r="M183" s="2" t="s">
        <v>356</v>
      </c>
      <c r="N183" s="2" t="s">
        <v>357</v>
      </c>
      <c r="O183" s="12">
        <v>7</v>
      </c>
      <c r="P183" s="12">
        <v>4500</v>
      </c>
      <c r="Q183" s="14">
        <v>25</v>
      </c>
      <c r="R183" s="1">
        <v>5</v>
      </c>
      <c r="S183" s="4">
        <v>24806.25</v>
      </c>
      <c r="T183" s="4" t="s">
        <v>94</v>
      </c>
      <c r="U183" s="3" t="s">
        <v>87</v>
      </c>
      <c r="V183" s="2" t="s">
        <v>95</v>
      </c>
    </row>
    <row r="184" spans="1:22" x14ac:dyDescent="0.35">
      <c r="A184" s="5" t="s">
        <v>832</v>
      </c>
      <c r="B184" s="10">
        <v>45468</v>
      </c>
      <c r="C184" s="6" t="s">
        <v>1771</v>
      </c>
      <c r="D184" s="6" t="s">
        <v>833</v>
      </c>
      <c r="E184" s="6" t="s">
        <v>834</v>
      </c>
      <c r="F184" s="6" t="s">
        <v>835</v>
      </c>
      <c r="G184" s="6" t="s">
        <v>315</v>
      </c>
      <c r="H184" s="5" t="s">
        <v>256</v>
      </c>
      <c r="I184" s="5" t="s">
        <v>24</v>
      </c>
      <c r="J184" s="5" t="s">
        <v>133</v>
      </c>
      <c r="K184" s="6" t="s">
        <v>134</v>
      </c>
      <c r="L184" s="6" t="s">
        <v>51</v>
      </c>
      <c r="M184" s="6" t="s">
        <v>135</v>
      </c>
      <c r="N184" s="6" t="s">
        <v>136</v>
      </c>
      <c r="O184" s="12">
        <v>4</v>
      </c>
      <c r="P184" s="12">
        <v>55000</v>
      </c>
      <c r="Q184" s="13">
        <v>12</v>
      </c>
      <c r="R184" s="5">
        <v>18</v>
      </c>
      <c r="S184" s="4">
        <v>228448</v>
      </c>
      <c r="T184" s="4" t="s">
        <v>1793</v>
      </c>
      <c r="U184" s="3" t="s">
        <v>116</v>
      </c>
      <c r="V184" s="2" t="s">
        <v>95</v>
      </c>
    </row>
    <row r="185" spans="1:22" x14ac:dyDescent="0.35">
      <c r="A185" s="1" t="s">
        <v>836</v>
      </c>
      <c r="B185" s="10">
        <v>45356</v>
      </c>
      <c r="C185" s="2" t="s">
        <v>1773</v>
      </c>
      <c r="D185" s="2" t="s">
        <v>837</v>
      </c>
      <c r="E185" s="2" t="s">
        <v>360</v>
      </c>
      <c r="F185" s="2" t="s">
        <v>838</v>
      </c>
      <c r="G185" s="2" t="s">
        <v>166</v>
      </c>
      <c r="H185" s="1" t="s">
        <v>167</v>
      </c>
      <c r="I185" s="1" t="s">
        <v>71</v>
      </c>
      <c r="J185" s="1" t="s">
        <v>39</v>
      </c>
      <c r="K185" s="2" t="s">
        <v>40</v>
      </c>
      <c r="L185" s="2" t="s">
        <v>41</v>
      </c>
      <c r="M185" s="2" t="s">
        <v>42</v>
      </c>
      <c r="N185" s="2" t="s">
        <v>43</v>
      </c>
      <c r="O185" s="12">
        <v>2</v>
      </c>
      <c r="P185" s="12">
        <v>25000</v>
      </c>
      <c r="Q185" s="14">
        <v>15</v>
      </c>
      <c r="R185" s="1">
        <v>3</v>
      </c>
      <c r="S185" s="4">
        <v>43775</v>
      </c>
      <c r="T185" s="4" t="s">
        <v>294</v>
      </c>
      <c r="U185" s="3" t="s">
        <v>137</v>
      </c>
      <c r="V185" s="2" t="s">
        <v>95</v>
      </c>
    </row>
    <row r="186" spans="1:22" x14ac:dyDescent="0.35">
      <c r="A186" s="5" t="s">
        <v>839</v>
      </c>
      <c r="B186" s="10">
        <v>45450</v>
      </c>
      <c r="C186" s="6" t="s">
        <v>197</v>
      </c>
      <c r="D186" s="6" t="s">
        <v>840</v>
      </c>
      <c r="E186" s="6" t="s">
        <v>488</v>
      </c>
      <c r="F186" s="6" t="s">
        <v>841</v>
      </c>
      <c r="G186" s="6" t="s">
        <v>109</v>
      </c>
      <c r="H186" s="5" t="s">
        <v>48</v>
      </c>
      <c r="I186" s="5" t="s">
        <v>24</v>
      </c>
      <c r="J186" s="5" t="s">
        <v>125</v>
      </c>
      <c r="K186" s="6" t="s">
        <v>126</v>
      </c>
      <c r="L186" s="6" t="s">
        <v>27</v>
      </c>
      <c r="M186" s="6" t="s">
        <v>127</v>
      </c>
      <c r="N186" s="6" t="s">
        <v>128</v>
      </c>
      <c r="O186" s="12">
        <v>9</v>
      </c>
      <c r="P186" s="12">
        <v>50</v>
      </c>
      <c r="Q186" s="13">
        <v>15</v>
      </c>
      <c r="R186" s="5">
        <v>5</v>
      </c>
      <c r="S186" s="4">
        <v>401.625</v>
      </c>
      <c r="T186" s="4" t="s">
        <v>65</v>
      </c>
      <c r="U186" s="6" t="s">
        <v>137</v>
      </c>
      <c r="V186" s="2" t="s">
        <v>95</v>
      </c>
    </row>
    <row r="187" spans="1:22" x14ac:dyDescent="0.35">
      <c r="A187" s="1" t="s">
        <v>842</v>
      </c>
      <c r="B187" s="10">
        <v>45460</v>
      </c>
      <c r="C187" s="2" t="s">
        <v>197</v>
      </c>
      <c r="D187" s="2" t="s">
        <v>843</v>
      </c>
      <c r="E187" s="2" t="s">
        <v>531</v>
      </c>
      <c r="F187" s="2" t="s">
        <v>844</v>
      </c>
      <c r="G187" s="2" t="s">
        <v>70</v>
      </c>
      <c r="H187" s="1" t="s">
        <v>70</v>
      </c>
      <c r="I187" s="1" t="s">
        <v>71</v>
      </c>
      <c r="J187" s="1" t="s">
        <v>39</v>
      </c>
      <c r="K187" s="2" t="s">
        <v>40</v>
      </c>
      <c r="L187" s="2" t="s">
        <v>41</v>
      </c>
      <c r="M187" s="2" t="s">
        <v>42</v>
      </c>
      <c r="N187" s="2" t="s">
        <v>43</v>
      </c>
      <c r="O187" s="12">
        <v>2</v>
      </c>
      <c r="P187" s="12">
        <v>25000</v>
      </c>
      <c r="Q187" s="14">
        <v>8</v>
      </c>
      <c r="R187" s="1">
        <v>3</v>
      </c>
      <c r="S187" s="4">
        <v>47380</v>
      </c>
      <c r="T187" s="4" t="s">
        <v>94</v>
      </c>
      <c r="U187" s="2" t="s">
        <v>137</v>
      </c>
      <c r="V187" s="2" t="s">
        <v>138</v>
      </c>
    </row>
    <row r="188" spans="1:22" x14ac:dyDescent="0.35">
      <c r="A188" s="5" t="s">
        <v>845</v>
      </c>
      <c r="B188" s="10">
        <v>45347</v>
      </c>
      <c r="C188" s="6" t="s">
        <v>346</v>
      </c>
      <c r="D188" s="6" t="s">
        <v>846</v>
      </c>
      <c r="E188" s="6" t="s">
        <v>847</v>
      </c>
      <c r="F188" s="6" t="s">
        <v>848</v>
      </c>
      <c r="G188" s="6" t="s">
        <v>237</v>
      </c>
      <c r="H188" s="5" t="s">
        <v>23</v>
      </c>
      <c r="I188" s="5" t="s">
        <v>24</v>
      </c>
      <c r="J188" s="5" t="s">
        <v>158</v>
      </c>
      <c r="K188" s="6" t="s">
        <v>159</v>
      </c>
      <c r="L188" s="6" t="s">
        <v>62</v>
      </c>
      <c r="M188" s="6" t="s">
        <v>160</v>
      </c>
      <c r="N188" s="6" t="s">
        <v>161</v>
      </c>
      <c r="O188" s="12">
        <v>1</v>
      </c>
      <c r="P188" s="12">
        <v>2500</v>
      </c>
      <c r="Q188" s="13">
        <v>0</v>
      </c>
      <c r="R188" s="5">
        <v>5</v>
      </c>
      <c r="S188" s="4">
        <v>2625</v>
      </c>
      <c r="T188" s="4" t="s">
        <v>94</v>
      </c>
      <c r="U188" s="6" t="s">
        <v>195</v>
      </c>
      <c r="V188" s="2" t="s">
        <v>138</v>
      </c>
    </row>
    <row r="189" spans="1:22" x14ac:dyDescent="0.35">
      <c r="A189" s="1" t="s">
        <v>849</v>
      </c>
      <c r="B189" s="10">
        <v>45445</v>
      </c>
      <c r="C189" s="2" t="s">
        <v>262</v>
      </c>
      <c r="D189" s="2" t="s">
        <v>850</v>
      </c>
      <c r="E189" s="2" t="s">
        <v>264</v>
      </c>
      <c r="F189" s="2" t="s">
        <v>851</v>
      </c>
      <c r="G189" s="2" t="s">
        <v>109</v>
      </c>
      <c r="H189" s="1" t="s">
        <v>48</v>
      </c>
      <c r="I189" s="1" t="s">
        <v>24</v>
      </c>
      <c r="J189" s="1" t="s">
        <v>250</v>
      </c>
      <c r="K189" s="2" t="s">
        <v>251</v>
      </c>
      <c r="L189" s="2" t="s">
        <v>84</v>
      </c>
      <c r="M189" s="2" t="s">
        <v>85</v>
      </c>
      <c r="N189" s="2" t="s">
        <v>252</v>
      </c>
      <c r="O189" s="12">
        <v>10</v>
      </c>
      <c r="P189" s="12">
        <v>42000</v>
      </c>
      <c r="Q189" s="14">
        <v>8</v>
      </c>
      <c r="R189" s="1">
        <v>18</v>
      </c>
      <c r="S189" s="4">
        <v>455952</v>
      </c>
      <c r="T189" s="4" t="s">
        <v>54</v>
      </c>
      <c r="U189" s="2" t="s">
        <v>116</v>
      </c>
      <c r="V189" s="2" t="s">
        <v>138</v>
      </c>
    </row>
    <row r="190" spans="1:22" x14ac:dyDescent="0.35">
      <c r="A190" s="5" t="s">
        <v>852</v>
      </c>
      <c r="B190" s="10">
        <v>45424</v>
      </c>
      <c r="C190" s="6" t="s">
        <v>1781</v>
      </c>
      <c r="D190" s="6" t="s">
        <v>853</v>
      </c>
      <c r="E190" s="6" t="s">
        <v>854</v>
      </c>
      <c r="F190" s="3" t="s">
        <v>1789</v>
      </c>
      <c r="G190" s="3" t="s">
        <v>109</v>
      </c>
      <c r="H190" s="5" t="s">
        <v>48</v>
      </c>
      <c r="I190" s="5" t="s">
        <v>24</v>
      </c>
      <c r="J190" s="5" t="s">
        <v>242</v>
      </c>
      <c r="K190" s="6" t="s">
        <v>243</v>
      </c>
      <c r="L190" s="6" t="s">
        <v>84</v>
      </c>
      <c r="M190" s="6" t="s">
        <v>244</v>
      </c>
      <c r="N190" s="6" t="s">
        <v>245</v>
      </c>
      <c r="O190" s="12">
        <v>7</v>
      </c>
      <c r="P190" s="12">
        <v>3200</v>
      </c>
      <c r="Q190" s="13">
        <v>25</v>
      </c>
      <c r="R190" s="5">
        <v>18</v>
      </c>
      <c r="S190" s="4">
        <v>19824</v>
      </c>
      <c r="T190" s="4" t="s">
        <v>1794</v>
      </c>
      <c r="U190" s="3" t="s">
        <v>116</v>
      </c>
      <c r="V190" s="2" t="s">
        <v>95</v>
      </c>
    </row>
    <row r="191" spans="1:22" x14ac:dyDescent="0.35">
      <c r="A191" s="1" t="s">
        <v>855</v>
      </c>
      <c r="B191" s="10">
        <v>45368</v>
      </c>
      <c r="C191" s="2" t="s">
        <v>1765</v>
      </c>
      <c r="D191" s="2" t="s">
        <v>856</v>
      </c>
      <c r="E191" s="2" t="s">
        <v>857</v>
      </c>
      <c r="F191" s="2" t="s">
        <v>858</v>
      </c>
      <c r="G191" s="2" t="s">
        <v>92</v>
      </c>
      <c r="H191" s="1" t="s">
        <v>93</v>
      </c>
      <c r="I191" s="1" t="s">
        <v>38</v>
      </c>
      <c r="J191" s="1" t="s">
        <v>184</v>
      </c>
      <c r="K191" s="2" t="s">
        <v>185</v>
      </c>
      <c r="L191" s="2" t="s">
        <v>51</v>
      </c>
      <c r="M191" s="2" t="s">
        <v>186</v>
      </c>
      <c r="N191" s="2" t="s">
        <v>74</v>
      </c>
      <c r="O191" s="12">
        <v>9</v>
      </c>
      <c r="P191" s="12">
        <v>35000</v>
      </c>
      <c r="Q191" s="14">
        <v>15</v>
      </c>
      <c r="R191" s="1">
        <v>18</v>
      </c>
      <c r="S191" s="4">
        <v>315945</v>
      </c>
      <c r="T191" s="4" t="s">
        <v>294</v>
      </c>
      <c r="U191" s="2" t="s">
        <v>30</v>
      </c>
      <c r="V191" s="2" t="s">
        <v>138</v>
      </c>
    </row>
    <row r="192" spans="1:22" x14ac:dyDescent="0.35">
      <c r="A192" s="5" t="s">
        <v>859</v>
      </c>
      <c r="B192" s="10">
        <v>45454</v>
      </c>
      <c r="C192" s="6" t="s">
        <v>1784</v>
      </c>
      <c r="D192" s="6" t="s">
        <v>860</v>
      </c>
      <c r="E192" s="6" t="s">
        <v>473</v>
      </c>
      <c r="F192" s="3" t="s">
        <v>1789</v>
      </c>
      <c r="G192" s="3" t="s">
        <v>150</v>
      </c>
      <c r="H192" s="5" t="s">
        <v>93</v>
      </c>
      <c r="I192" s="5" t="s">
        <v>38</v>
      </c>
      <c r="J192" s="5" t="s">
        <v>172</v>
      </c>
      <c r="K192" s="6" t="s">
        <v>173</v>
      </c>
      <c r="L192" s="6" t="s">
        <v>84</v>
      </c>
      <c r="M192" s="6" t="s">
        <v>174</v>
      </c>
      <c r="N192" s="6" t="s">
        <v>175</v>
      </c>
      <c r="O192" s="12">
        <v>1</v>
      </c>
      <c r="P192" s="12">
        <v>299</v>
      </c>
      <c r="Q192" s="13">
        <v>15</v>
      </c>
      <c r="R192" s="5">
        <v>18</v>
      </c>
      <c r="S192" s="4">
        <v>299.89699999999999</v>
      </c>
      <c r="T192" s="4" t="s">
        <v>94</v>
      </c>
      <c r="U192" s="6" t="s">
        <v>30</v>
      </c>
      <c r="V192" s="2" t="s">
        <v>95</v>
      </c>
    </row>
    <row r="193" spans="1:22" x14ac:dyDescent="0.35">
      <c r="A193" s="1" t="s">
        <v>861</v>
      </c>
      <c r="B193" s="10">
        <v>45359</v>
      </c>
      <c r="C193" s="2" t="s">
        <v>296</v>
      </c>
      <c r="D193" s="2" t="s">
        <v>862</v>
      </c>
      <c r="E193" s="2" t="s">
        <v>439</v>
      </c>
      <c r="F193" s="2" t="s">
        <v>863</v>
      </c>
      <c r="G193" s="2" t="s">
        <v>109</v>
      </c>
      <c r="H193" s="1" t="s">
        <v>48</v>
      </c>
      <c r="I193" s="1" t="s">
        <v>24</v>
      </c>
      <c r="J193" s="1" t="s">
        <v>215</v>
      </c>
      <c r="K193" s="2" t="s">
        <v>216</v>
      </c>
      <c r="L193" s="2" t="s">
        <v>27</v>
      </c>
      <c r="M193" s="2" t="s">
        <v>127</v>
      </c>
      <c r="N193" s="2" t="s">
        <v>217</v>
      </c>
      <c r="O193" s="12">
        <v>8</v>
      </c>
      <c r="P193" s="12">
        <v>40</v>
      </c>
      <c r="Q193" s="14">
        <v>20</v>
      </c>
      <c r="R193" s="1">
        <v>5</v>
      </c>
      <c r="S193" s="4">
        <v>268.8</v>
      </c>
      <c r="T193" s="4" t="s">
        <v>1793</v>
      </c>
      <c r="U193" s="3" t="s">
        <v>87</v>
      </c>
      <c r="V193" s="2" t="s">
        <v>138</v>
      </c>
    </row>
    <row r="194" spans="1:22" x14ac:dyDescent="0.35">
      <c r="A194" s="1" t="s">
        <v>864</v>
      </c>
      <c r="B194" s="10">
        <v>45444</v>
      </c>
      <c r="C194" s="2" t="s">
        <v>525</v>
      </c>
      <c r="D194" s="2" t="s">
        <v>865</v>
      </c>
      <c r="E194" s="2" t="s">
        <v>866</v>
      </c>
      <c r="F194" s="2" t="s">
        <v>867</v>
      </c>
      <c r="G194" s="2" t="s">
        <v>315</v>
      </c>
      <c r="H194" s="1" t="s">
        <v>256</v>
      </c>
      <c r="I194" s="1" t="s">
        <v>24</v>
      </c>
      <c r="J194" s="1" t="s">
        <v>266</v>
      </c>
      <c r="K194" s="2" t="s">
        <v>267</v>
      </c>
      <c r="L194" s="2" t="s">
        <v>62</v>
      </c>
      <c r="M194" s="2" t="s">
        <v>63</v>
      </c>
      <c r="N194" s="2" t="s">
        <v>268</v>
      </c>
      <c r="O194" s="12">
        <v>4</v>
      </c>
      <c r="P194" s="12">
        <v>8500</v>
      </c>
      <c r="Q194" s="13">
        <v>5</v>
      </c>
      <c r="R194" s="1">
        <v>18</v>
      </c>
      <c r="S194" s="4">
        <v>38114</v>
      </c>
      <c r="T194" s="4" t="s">
        <v>294</v>
      </c>
      <c r="U194" s="3" t="s">
        <v>137</v>
      </c>
      <c r="V194" s="2" t="s">
        <v>95</v>
      </c>
    </row>
    <row r="195" spans="1:22" x14ac:dyDescent="0.35">
      <c r="A195" s="5" t="s">
        <v>868</v>
      </c>
      <c r="B195" s="10">
        <v>45345</v>
      </c>
      <c r="C195" s="6" t="s">
        <v>537</v>
      </c>
      <c r="D195" s="6" t="s">
        <v>869</v>
      </c>
      <c r="E195" s="6" t="s">
        <v>870</v>
      </c>
      <c r="F195" s="6" t="s">
        <v>871</v>
      </c>
      <c r="G195" s="6" t="s">
        <v>349</v>
      </c>
      <c r="H195" s="5" t="s">
        <v>209</v>
      </c>
      <c r="I195" s="5" t="s">
        <v>210</v>
      </c>
      <c r="J195" s="5" t="s">
        <v>143</v>
      </c>
      <c r="K195" s="6" t="s">
        <v>144</v>
      </c>
      <c r="L195" s="6" t="s">
        <v>51</v>
      </c>
      <c r="M195" s="6" t="s">
        <v>52</v>
      </c>
      <c r="N195" s="6" t="s">
        <v>145</v>
      </c>
      <c r="O195" s="12">
        <v>2</v>
      </c>
      <c r="P195" s="12">
        <v>89000</v>
      </c>
      <c r="Q195" s="14">
        <v>80</v>
      </c>
      <c r="R195" s="5">
        <v>18</v>
      </c>
      <c r="S195" s="4">
        <v>42007.999999999993</v>
      </c>
      <c r="T195" s="4" t="s">
        <v>65</v>
      </c>
      <c r="U195" s="6" t="s">
        <v>137</v>
      </c>
      <c r="V195" s="2" t="s">
        <v>95</v>
      </c>
    </row>
    <row r="196" spans="1:22" x14ac:dyDescent="0.35">
      <c r="A196" s="1" t="s">
        <v>872</v>
      </c>
      <c r="B196" s="10">
        <v>45458</v>
      </c>
      <c r="C196" s="2" t="s">
        <v>76</v>
      </c>
      <c r="D196" s="2" t="s">
        <v>873</v>
      </c>
      <c r="E196" s="2" t="s">
        <v>667</v>
      </c>
      <c r="F196" s="2" t="s">
        <v>874</v>
      </c>
      <c r="G196" s="2" t="s">
        <v>237</v>
      </c>
      <c r="H196" s="1" t="s">
        <v>23</v>
      </c>
      <c r="I196" s="1" t="s">
        <v>24</v>
      </c>
      <c r="J196" s="1" t="s">
        <v>300</v>
      </c>
      <c r="K196" s="2" t="s">
        <v>301</v>
      </c>
      <c r="L196" s="2" t="s">
        <v>62</v>
      </c>
      <c r="M196" s="2" t="s">
        <v>302</v>
      </c>
      <c r="N196" s="2" t="s">
        <v>303</v>
      </c>
      <c r="O196" s="12">
        <v>10</v>
      </c>
      <c r="P196" s="12">
        <v>4800</v>
      </c>
      <c r="Q196" s="13">
        <v>12</v>
      </c>
      <c r="R196" s="1">
        <v>18</v>
      </c>
      <c r="S196" s="4">
        <v>49843.199999999997</v>
      </c>
      <c r="T196" s="4" t="s">
        <v>94</v>
      </c>
      <c r="U196" s="2" t="s">
        <v>137</v>
      </c>
      <c r="V196" s="2" t="s">
        <v>138</v>
      </c>
    </row>
    <row r="197" spans="1:22" x14ac:dyDescent="0.35">
      <c r="A197" s="5" t="s">
        <v>875</v>
      </c>
      <c r="B197" s="10">
        <v>45307</v>
      </c>
      <c r="C197" s="6" t="s">
        <v>1784</v>
      </c>
      <c r="D197" s="6" t="s">
        <v>876</v>
      </c>
      <c r="E197" s="6" t="s">
        <v>877</v>
      </c>
      <c r="F197" s="6" t="s">
        <v>878</v>
      </c>
      <c r="G197" s="6" t="s">
        <v>150</v>
      </c>
      <c r="H197" s="5" t="s">
        <v>93</v>
      </c>
      <c r="I197" s="5" t="s">
        <v>38</v>
      </c>
      <c r="J197" s="5" t="s">
        <v>82</v>
      </c>
      <c r="K197" s="6" t="s">
        <v>83</v>
      </c>
      <c r="L197" s="6" t="s">
        <v>84</v>
      </c>
      <c r="M197" s="6" t="s">
        <v>85</v>
      </c>
      <c r="N197" s="6" t="s">
        <v>86</v>
      </c>
      <c r="O197" s="12">
        <v>1</v>
      </c>
      <c r="P197" s="12">
        <v>12000</v>
      </c>
      <c r="Q197" s="14">
        <v>80</v>
      </c>
      <c r="R197" s="5">
        <v>18</v>
      </c>
      <c r="S197" s="4">
        <v>2831.9999999999991</v>
      </c>
      <c r="T197" s="4" t="s">
        <v>294</v>
      </c>
      <c r="U197" s="3" t="s">
        <v>87</v>
      </c>
      <c r="V197" s="2" t="s">
        <v>138</v>
      </c>
    </row>
    <row r="198" spans="1:22" x14ac:dyDescent="0.35">
      <c r="A198" s="1" t="s">
        <v>879</v>
      </c>
      <c r="B198" s="10">
        <v>45327</v>
      </c>
      <c r="C198" s="2" t="s">
        <v>76</v>
      </c>
      <c r="D198" s="2" t="s">
        <v>880</v>
      </c>
      <c r="E198" s="2" t="s">
        <v>78</v>
      </c>
      <c r="F198" s="2" t="s">
        <v>881</v>
      </c>
      <c r="G198" s="2" t="s">
        <v>166</v>
      </c>
      <c r="H198" s="1" t="s">
        <v>167</v>
      </c>
      <c r="I198" s="1" t="s">
        <v>71</v>
      </c>
      <c r="J198" s="1" t="s">
        <v>300</v>
      </c>
      <c r="K198" s="2" t="s">
        <v>301</v>
      </c>
      <c r="L198" s="2" t="s">
        <v>62</v>
      </c>
      <c r="M198" s="2" t="s">
        <v>302</v>
      </c>
      <c r="N198" s="2" t="s">
        <v>303</v>
      </c>
      <c r="O198" s="12">
        <v>4</v>
      </c>
      <c r="P198" s="12">
        <v>4800</v>
      </c>
      <c r="Q198" s="13">
        <v>15</v>
      </c>
      <c r="R198" s="1">
        <v>18</v>
      </c>
      <c r="S198" s="4">
        <v>19257.599999999999</v>
      </c>
      <c r="T198" s="4" t="s">
        <v>294</v>
      </c>
      <c r="U198" s="3" t="s">
        <v>87</v>
      </c>
      <c r="V198" s="2" t="s">
        <v>95</v>
      </c>
    </row>
    <row r="199" spans="1:22" x14ac:dyDescent="0.35">
      <c r="A199" s="5" t="s">
        <v>882</v>
      </c>
      <c r="B199" s="10">
        <v>45340</v>
      </c>
      <c r="C199" s="6" t="s">
        <v>76</v>
      </c>
      <c r="D199" s="6" t="s">
        <v>883</v>
      </c>
      <c r="E199" s="6" t="s">
        <v>313</v>
      </c>
      <c r="F199" s="6" t="s">
        <v>884</v>
      </c>
      <c r="G199" s="6" t="s">
        <v>109</v>
      </c>
      <c r="H199" s="5" t="s">
        <v>48</v>
      </c>
      <c r="I199" s="5" t="s">
        <v>24</v>
      </c>
      <c r="J199" s="5" t="s">
        <v>669</v>
      </c>
      <c r="K199" s="6" t="s">
        <v>670</v>
      </c>
      <c r="L199" s="6" t="s">
        <v>84</v>
      </c>
      <c r="M199" s="6" t="s">
        <v>85</v>
      </c>
      <c r="N199" s="6" t="s">
        <v>671</v>
      </c>
      <c r="O199" s="12">
        <v>3</v>
      </c>
      <c r="P199" s="12">
        <v>38000</v>
      </c>
      <c r="Q199" s="14">
        <v>20</v>
      </c>
      <c r="R199" s="5">
        <v>18</v>
      </c>
      <c r="S199" s="4">
        <v>107616</v>
      </c>
      <c r="T199" s="4" t="s">
        <v>54</v>
      </c>
      <c r="U199" s="6" t="s">
        <v>195</v>
      </c>
      <c r="V199" s="2" t="s">
        <v>95</v>
      </c>
    </row>
    <row r="200" spans="1:22" x14ac:dyDescent="0.35">
      <c r="A200" s="1" t="s">
        <v>885</v>
      </c>
      <c r="B200" s="10">
        <v>45396</v>
      </c>
      <c r="C200" s="2" t="s">
        <v>1766</v>
      </c>
      <c r="D200" s="2" t="s">
        <v>886</v>
      </c>
      <c r="E200" s="2" t="s">
        <v>887</v>
      </c>
      <c r="F200" s="2" t="s">
        <v>888</v>
      </c>
      <c r="G200" s="2" t="s">
        <v>109</v>
      </c>
      <c r="H200" s="1" t="s">
        <v>48</v>
      </c>
      <c r="I200" s="1" t="s">
        <v>24</v>
      </c>
      <c r="J200" s="1" t="s">
        <v>72</v>
      </c>
      <c r="K200" s="2" t="s">
        <v>73</v>
      </c>
      <c r="L200" s="2" t="s">
        <v>51</v>
      </c>
      <c r="M200" s="2" t="s">
        <v>52</v>
      </c>
      <c r="N200" s="2" t="s">
        <v>74</v>
      </c>
      <c r="O200" s="12">
        <v>8</v>
      </c>
      <c r="P200" s="12">
        <v>14000</v>
      </c>
      <c r="Q200" s="13">
        <v>8</v>
      </c>
      <c r="R200" s="1">
        <v>18</v>
      </c>
      <c r="S200" s="4">
        <v>121587.2</v>
      </c>
      <c r="T200" s="4" t="s">
        <v>294</v>
      </c>
      <c r="U200" s="2" t="s">
        <v>30</v>
      </c>
      <c r="V200" s="2" t="s">
        <v>95</v>
      </c>
    </row>
    <row r="201" spans="1:22" x14ac:dyDescent="0.35">
      <c r="A201" s="5" t="s">
        <v>889</v>
      </c>
      <c r="B201" s="10">
        <v>45425</v>
      </c>
      <c r="C201" s="6" t="s">
        <v>1785</v>
      </c>
      <c r="D201" s="6" t="s">
        <v>890</v>
      </c>
      <c r="E201" s="6" t="s">
        <v>733</v>
      </c>
      <c r="F201" s="6" t="s">
        <v>891</v>
      </c>
      <c r="G201" s="6" t="s">
        <v>70</v>
      </c>
      <c r="H201" s="5" t="s">
        <v>70</v>
      </c>
      <c r="I201" s="5" t="s">
        <v>71</v>
      </c>
      <c r="J201" s="5" t="s">
        <v>49</v>
      </c>
      <c r="K201" s="6" t="s">
        <v>50</v>
      </c>
      <c r="L201" s="6" t="s">
        <v>51</v>
      </c>
      <c r="M201" s="6" t="s">
        <v>52</v>
      </c>
      <c r="N201" s="6" t="s">
        <v>53</v>
      </c>
      <c r="O201" s="12">
        <v>4</v>
      </c>
      <c r="P201" s="12">
        <v>28000</v>
      </c>
      <c r="Q201" s="14">
        <v>15</v>
      </c>
      <c r="R201" s="5">
        <v>18</v>
      </c>
      <c r="S201" s="4">
        <v>112336</v>
      </c>
      <c r="T201" s="4" t="s">
        <v>94</v>
      </c>
      <c r="U201" s="3" t="s">
        <v>87</v>
      </c>
      <c r="V201" s="2" t="s">
        <v>95</v>
      </c>
    </row>
    <row r="202" spans="1:22" x14ac:dyDescent="0.35">
      <c r="A202" s="1" t="s">
        <v>892</v>
      </c>
      <c r="B202" s="10">
        <v>45420</v>
      </c>
      <c r="C202" s="2" t="s">
        <v>56</v>
      </c>
      <c r="D202" s="2" t="s">
        <v>893</v>
      </c>
      <c r="E202" s="2" t="s">
        <v>119</v>
      </c>
      <c r="F202" s="2" t="s">
        <v>894</v>
      </c>
      <c r="G202" s="2" t="s">
        <v>150</v>
      </c>
      <c r="H202" s="1" t="s">
        <v>93</v>
      </c>
      <c r="I202" s="1" t="s">
        <v>38</v>
      </c>
      <c r="J202" s="1" t="s">
        <v>215</v>
      </c>
      <c r="K202" s="2" t="s">
        <v>216</v>
      </c>
      <c r="L202" s="2" t="s">
        <v>27</v>
      </c>
      <c r="M202" s="2" t="s">
        <v>127</v>
      </c>
      <c r="N202" s="2" t="s">
        <v>217</v>
      </c>
      <c r="O202" s="12">
        <v>5</v>
      </c>
      <c r="P202" s="12">
        <v>40</v>
      </c>
      <c r="Q202" s="13">
        <v>0</v>
      </c>
      <c r="R202" s="1">
        <v>5</v>
      </c>
      <c r="S202" s="4">
        <v>210</v>
      </c>
      <c r="T202" s="4" t="s">
        <v>54</v>
      </c>
      <c r="U202" s="3" t="s">
        <v>137</v>
      </c>
      <c r="V202" s="2" t="s">
        <v>138</v>
      </c>
    </row>
    <row r="203" spans="1:22" x14ac:dyDescent="0.35">
      <c r="A203" s="5" t="s">
        <v>895</v>
      </c>
      <c r="B203" s="10">
        <v>45313</v>
      </c>
      <c r="C203" s="6" t="s">
        <v>56</v>
      </c>
      <c r="D203" s="6" t="s">
        <v>896</v>
      </c>
      <c r="E203" s="6" t="s">
        <v>119</v>
      </c>
      <c r="F203" s="6" t="s">
        <v>897</v>
      </c>
      <c r="G203" s="6" t="s">
        <v>109</v>
      </c>
      <c r="H203" s="5" t="s">
        <v>48</v>
      </c>
      <c r="I203" s="5" t="s">
        <v>24</v>
      </c>
      <c r="J203" s="5" t="s">
        <v>184</v>
      </c>
      <c r="K203" s="6" t="s">
        <v>185</v>
      </c>
      <c r="L203" s="6" t="s">
        <v>51</v>
      </c>
      <c r="M203" s="6" t="s">
        <v>186</v>
      </c>
      <c r="N203" s="6" t="s">
        <v>74</v>
      </c>
      <c r="O203" s="12">
        <v>8</v>
      </c>
      <c r="P203" s="12">
        <v>35000</v>
      </c>
      <c r="Q203" s="14">
        <v>8</v>
      </c>
      <c r="R203" s="5">
        <v>18</v>
      </c>
      <c r="S203" s="4">
        <v>303968</v>
      </c>
      <c r="T203" s="4" t="s">
        <v>65</v>
      </c>
      <c r="U203" s="3" t="s">
        <v>30</v>
      </c>
      <c r="V203" s="2" t="s">
        <v>95</v>
      </c>
    </row>
    <row r="204" spans="1:22" x14ac:dyDescent="0.35">
      <c r="A204" s="1" t="s">
        <v>898</v>
      </c>
      <c r="B204" s="10">
        <v>45295</v>
      </c>
      <c r="C204" s="2" t="s">
        <v>1772</v>
      </c>
      <c r="D204" s="2" t="s">
        <v>899</v>
      </c>
      <c r="E204" s="2" t="s">
        <v>382</v>
      </c>
      <c r="F204" s="2" t="s">
        <v>900</v>
      </c>
      <c r="G204" s="2" t="s">
        <v>150</v>
      </c>
      <c r="H204" s="1" t="s">
        <v>93</v>
      </c>
      <c r="I204" s="1" t="s">
        <v>38</v>
      </c>
      <c r="J204" s="1" t="s">
        <v>669</v>
      </c>
      <c r="K204" s="2" t="s">
        <v>670</v>
      </c>
      <c r="L204" s="2" t="s">
        <v>84</v>
      </c>
      <c r="M204" s="2" t="s">
        <v>85</v>
      </c>
      <c r="N204" s="2" t="s">
        <v>671</v>
      </c>
      <c r="O204" s="12">
        <v>3</v>
      </c>
      <c r="P204" s="12">
        <v>38000</v>
      </c>
      <c r="Q204" s="13">
        <v>25</v>
      </c>
      <c r="R204" s="1">
        <v>18</v>
      </c>
      <c r="S204" s="4">
        <v>100890</v>
      </c>
      <c r="T204" s="4" t="s">
        <v>294</v>
      </c>
      <c r="U204" s="2" t="s">
        <v>137</v>
      </c>
      <c r="V204" s="2" t="s">
        <v>138</v>
      </c>
    </row>
    <row r="205" spans="1:22" x14ac:dyDescent="0.35">
      <c r="A205" s="5" t="s">
        <v>901</v>
      </c>
      <c r="B205" s="10">
        <v>45376</v>
      </c>
      <c r="C205" s="6" t="s">
        <v>262</v>
      </c>
      <c r="D205" s="6" t="s">
        <v>1788</v>
      </c>
      <c r="E205" s="6" t="s">
        <v>1789</v>
      </c>
      <c r="F205" s="6" t="s">
        <v>902</v>
      </c>
      <c r="G205" s="6" t="s">
        <v>92</v>
      </c>
      <c r="H205" s="5" t="s">
        <v>93</v>
      </c>
      <c r="I205" s="5" t="s">
        <v>38</v>
      </c>
      <c r="J205" s="5" t="s">
        <v>434</v>
      </c>
      <c r="K205" s="6" t="s">
        <v>435</v>
      </c>
      <c r="L205" s="6" t="s">
        <v>62</v>
      </c>
      <c r="M205" s="6" t="s">
        <v>160</v>
      </c>
      <c r="N205" s="6" t="s">
        <v>436</v>
      </c>
      <c r="O205" s="12">
        <v>9</v>
      </c>
      <c r="P205" s="12">
        <v>1200</v>
      </c>
      <c r="Q205" s="14">
        <v>8</v>
      </c>
      <c r="R205" s="5">
        <v>5</v>
      </c>
      <c r="S205" s="4">
        <v>10432.800000000001</v>
      </c>
      <c r="T205" s="4" t="s">
        <v>1793</v>
      </c>
      <c r="U205" s="3" t="s">
        <v>30</v>
      </c>
      <c r="V205" s="2" t="s">
        <v>138</v>
      </c>
    </row>
    <row r="206" spans="1:22" x14ac:dyDescent="0.35">
      <c r="A206" s="1" t="s">
        <v>903</v>
      </c>
      <c r="B206" s="10">
        <v>45426</v>
      </c>
      <c r="C206" s="2" t="s">
        <v>1773</v>
      </c>
      <c r="D206" s="2" t="s">
        <v>904</v>
      </c>
      <c r="E206" s="2" t="s">
        <v>429</v>
      </c>
      <c r="F206" s="2" t="s">
        <v>905</v>
      </c>
      <c r="G206" s="2" t="s">
        <v>349</v>
      </c>
      <c r="H206" s="1" t="s">
        <v>209</v>
      </c>
      <c r="I206" s="1" t="s">
        <v>210</v>
      </c>
      <c r="J206" s="1" t="s">
        <v>82</v>
      </c>
      <c r="K206" s="2" t="s">
        <v>83</v>
      </c>
      <c r="L206" s="2" t="s">
        <v>84</v>
      </c>
      <c r="M206" s="2" t="s">
        <v>85</v>
      </c>
      <c r="N206" s="2" t="s">
        <v>86</v>
      </c>
      <c r="O206" s="12">
        <v>2</v>
      </c>
      <c r="P206" s="12">
        <v>12000</v>
      </c>
      <c r="Q206" s="13">
        <v>20</v>
      </c>
      <c r="R206" s="1">
        <v>18</v>
      </c>
      <c r="S206" s="4">
        <v>22656</v>
      </c>
      <c r="T206" s="4" t="s">
        <v>94</v>
      </c>
      <c r="U206" s="2" t="s">
        <v>195</v>
      </c>
      <c r="V206" s="2" t="s">
        <v>95</v>
      </c>
    </row>
    <row r="207" spans="1:22" x14ac:dyDescent="0.35">
      <c r="A207" s="5" t="s">
        <v>906</v>
      </c>
      <c r="B207" s="10">
        <v>45366</v>
      </c>
      <c r="C207" s="6" t="s">
        <v>1777</v>
      </c>
      <c r="D207" s="6" t="s">
        <v>907</v>
      </c>
      <c r="E207" s="6" t="s">
        <v>298</v>
      </c>
      <c r="F207" s="6" t="s">
        <v>908</v>
      </c>
      <c r="G207" s="6" t="s">
        <v>70</v>
      </c>
      <c r="H207" s="5" t="s">
        <v>70</v>
      </c>
      <c r="I207" s="5" t="s">
        <v>71</v>
      </c>
      <c r="J207" s="5" t="s">
        <v>172</v>
      </c>
      <c r="K207" s="6" t="s">
        <v>173</v>
      </c>
      <c r="L207" s="6" t="s">
        <v>84</v>
      </c>
      <c r="M207" s="6" t="s">
        <v>174</v>
      </c>
      <c r="N207" s="6" t="s">
        <v>175</v>
      </c>
      <c r="O207" s="12">
        <v>6</v>
      </c>
      <c r="P207" s="12">
        <v>299</v>
      </c>
      <c r="Q207" s="14">
        <v>25</v>
      </c>
      <c r="R207" s="5">
        <v>18</v>
      </c>
      <c r="S207" s="4">
        <v>1587.6899999999998</v>
      </c>
      <c r="T207" s="4" t="s">
        <v>65</v>
      </c>
      <c r="U207" s="3" t="s">
        <v>116</v>
      </c>
      <c r="V207" s="2" t="s">
        <v>95</v>
      </c>
    </row>
    <row r="208" spans="1:22" x14ac:dyDescent="0.35">
      <c r="A208" s="1" t="s">
        <v>909</v>
      </c>
      <c r="B208" s="10">
        <v>45336</v>
      </c>
      <c r="C208" s="2" t="s">
        <v>1785</v>
      </c>
      <c r="D208" s="2" t="s">
        <v>910</v>
      </c>
      <c r="E208" s="2" t="s">
        <v>911</v>
      </c>
      <c r="F208" s="2" t="s">
        <v>912</v>
      </c>
      <c r="G208" s="2" t="s">
        <v>349</v>
      </c>
      <c r="H208" s="1" t="s">
        <v>209</v>
      </c>
      <c r="I208" s="1" t="s">
        <v>210</v>
      </c>
      <c r="J208" s="1" t="s">
        <v>242</v>
      </c>
      <c r="K208" s="2" t="s">
        <v>243</v>
      </c>
      <c r="L208" s="2" t="s">
        <v>84</v>
      </c>
      <c r="M208" s="2" t="s">
        <v>244</v>
      </c>
      <c r="N208" s="2" t="s">
        <v>245</v>
      </c>
      <c r="O208" s="12">
        <v>4</v>
      </c>
      <c r="P208" s="12">
        <v>3200</v>
      </c>
      <c r="Q208" s="13">
        <v>15</v>
      </c>
      <c r="R208" s="1">
        <v>18</v>
      </c>
      <c r="S208" s="4">
        <v>12838.4</v>
      </c>
      <c r="T208" s="4" t="s">
        <v>294</v>
      </c>
      <c r="U208" s="3" t="s">
        <v>116</v>
      </c>
      <c r="V208" s="2" t="s">
        <v>95</v>
      </c>
    </row>
    <row r="209" spans="1:22" x14ac:dyDescent="0.35">
      <c r="A209" s="5" t="s">
        <v>913</v>
      </c>
      <c r="B209" s="10">
        <v>45330</v>
      </c>
      <c r="C209" s="6" t="s">
        <v>1771</v>
      </c>
      <c r="D209" s="6" t="s">
        <v>914</v>
      </c>
      <c r="E209" s="6" t="s">
        <v>153</v>
      </c>
      <c r="F209" s="6" t="s">
        <v>915</v>
      </c>
      <c r="G209" s="6" t="s">
        <v>315</v>
      </c>
      <c r="H209" s="5" t="s">
        <v>256</v>
      </c>
      <c r="I209" s="5" t="s">
        <v>24</v>
      </c>
      <c r="J209" s="5" t="s">
        <v>201</v>
      </c>
      <c r="K209" s="6" t="s">
        <v>202</v>
      </c>
      <c r="L209" s="6" t="s">
        <v>27</v>
      </c>
      <c r="M209" s="6" t="s">
        <v>203</v>
      </c>
      <c r="N209" s="6" t="s">
        <v>204</v>
      </c>
      <c r="O209" s="12">
        <v>7</v>
      </c>
      <c r="P209" s="12">
        <v>280</v>
      </c>
      <c r="Q209" s="14">
        <v>15</v>
      </c>
      <c r="R209" s="5">
        <v>5</v>
      </c>
      <c r="S209" s="4">
        <v>1749.3000000000002</v>
      </c>
      <c r="T209" s="4" t="s">
        <v>1793</v>
      </c>
      <c r="U209" s="3" t="s">
        <v>137</v>
      </c>
      <c r="V209" s="2" t="s">
        <v>138</v>
      </c>
    </row>
    <row r="210" spans="1:22" x14ac:dyDescent="0.35">
      <c r="A210" s="1" t="s">
        <v>916</v>
      </c>
      <c r="B210" s="10">
        <v>45387</v>
      </c>
      <c r="C210" s="2" t="s">
        <v>1783</v>
      </c>
      <c r="D210" s="2" t="s">
        <v>917</v>
      </c>
      <c r="E210" s="2" t="s">
        <v>918</v>
      </c>
      <c r="F210" s="2" t="s">
        <v>919</v>
      </c>
      <c r="G210" s="2" t="s">
        <v>109</v>
      </c>
      <c r="H210" s="1" t="s">
        <v>48</v>
      </c>
      <c r="I210" s="1" t="s">
        <v>24</v>
      </c>
      <c r="J210" s="1" t="s">
        <v>250</v>
      </c>
      <c r="K210" s="2" t="s">
        <v>251</v>
      </c>
      <c r="L210" s="2" t="s">
        <v>84</v>
      </c>
      <c r="M210" s="2" t="s">
        <v>85</v>
      </c>
      <c r="N210" s="2" t="s">
        <v>252</v>
      </c>
      <c r="O210" s="12">
        <v>6</v>
      </c>
      <c r="P210" s="12">
        <v>42000</v>
      </c>
      <c r="Q210" s="13">
        <v>15</v>
      </c>
      <c r="R210" s="1">
        <v>18</v>
      </c>
      <c r="S210" s="4">
        <v>252756</v>
      </c>
      <c r="T210" s="4" t="s">
        <v>1794</v>
      </c>
      <c r="U210" s="2" t="s">
        <v>116</v>
      </c>
      <c r="V210" s="2" t="s">
        <v>138</v>
      </c>
    </row>
    <row r="211" spans="1:22" x14ac:dyDescent="0.35">
      <c r="A211" s="5" t="s">
        <v>920</v>
      </c>
      <c r="B211" s="10">
        <v>45467</v>
      </c>
      <c r="C211" s="6" t="s">
        <v>1770</v>
      </c>
      <c r="D211" s="6" t="s">
        <v>921</v>
      </c>
      <c r="E211" s="6" t="s">
        <v>922</v>
      </c>
      <c r="F211" s="6" t="s">
        <v>923</v>
      </c>
      <c r="G211" s="6" t="s">
        <v>315</v>
      </c>
      <c r="H211" s="5" t="s">
        <v>256</v>
      </c>
      <c r="I211" s="5" t="s">
        <v>24</v>
      </c>
      <c r="J211" s="5" t="s">
        <v>434</v>
      </c>
      <c r="K211" s="6" t="s">
        <v>435</v>
      </c>
      <c r="L211" s="6" t="s">
        <v>62</v>
      </c>
      <c r="M211" s="6" t="s">
        <v>160</v>
      </c>
      <c r="N211" s="6" t="s">
        <v>436</v>
      </c>
      <c r="O211" s="12">
        <v>2</v>
      </c>
      <c r="P211" s="12">
        <v>1200</v>
      </c>
      <c r="Q211" s="14">
        <v>0</v>
      </c>
      <c r="R211" s="5">
        <v>5</v>
      </c>
      <c r="S211" s="4">
        <v>2520</v>
      </c>
      <c r="T211" s="4" t="s">
        <v>1793</v>
      </c>
      <c r="U211" s="6" t="s">
        <v>195</v>
      </c>
      <c r="V211" s="2" t="s">
        <v>95</v>
      </c>
    </row>
    <row r="212" spans="1:22" x14ac:dyDescent="0.35">
      <c r="A212" s="1" t="s">
        <v>924</v>
      </c>
      <c r="B212" s="10">
        <v>45381</v>
      </c>
      <c r="C212" s="2" t="s">
        <v>1776</v>
      </c>
      <c r="D212" s="2" t="s">
        <v>925</v>
      </c>
      <c r="E212" s="2" t="s">
        <v>926</v>
      </c>
      <c r="F212" s="2" t="s">
        <v>927</v>
      </c>
      <c r="G212" s="2" t="s">
        <v>237</v>
      </c>
      <c r="H212" s="1" t="s">
        <v>23</v>
      </c>
      <c r="I212" s="1" t="s">
        <v>24</v>
      </c>
      <c r="J212" s="1" t="s">
        <v>257</v>
      </c>
      <c r="K212" s="2" t="s">
        <v>258</v>
      </c>
      <c r="L212" s="2" t="s">
        <v>62</v>
      </c>
      <c r="M212" s="2" t="s">
        <v>259</v>
      </c>
      <c r="N212" s="2" t="s">
        <v>260</v>
      </c>
      <c r="O212" s="12">
        <v>9</v>
      </c>
      <c r="P212" s="12">
        <v>3500</v>
      </c>
      <c r="Q212" s="13">
        <v>12</v>
      </c>
      <c r="R212" s="1">
        <v>5</v>
      </c>
      <c r="S212" s="4">
        <v>29106</v>
      </c>
      <c r="T212" s="4" t="s">
        <v>94</v>
      </c>
      <c r="U212" s="2" t="s">
        <v>30</v>
      </c>
      <c r="V212" s="2" t="s">
        <v>138</v>
      </c>
    </row>
    <row r="213" spans="1:22" x14ac:dyDescent="0.35">
      <c r="A213" s="5" t="s">
        <v>928</v>
      </c>
      <c r="B213" s="10">
        <v>45411</v>
      </c>
      <c r="C213" s="6" t="s">
        <v>1773</v>
      </c>
      <c r="D213" s="6" t="s">
        <v>929</v>
      </c>
      <c r="E213" s="6" t="s">
        <v>360</v>
      </c>
      <c r="F213" s="6" t="s">
        <v>930</v>
      </c>
      <c r="G213" s="6" t="s">
        <v>166</v>
      </c>
      <c r="H213" s="5" t="s">
        <v>167</v>
      </c>
      <c r="I213" s="5" t="s">
        <v>71</v>
      </c>
      <c r="J213" s="5" t="s">
        <v>143</v>
      </c>
      <c r="K213" s="6" t="s">
        <v>144</v>
      </c>
      <c r="L213" s="6" t="s">
        <v>51</v>
      </c>
      <c r="M213" s="6" t="s">
        <v>52</v>
      </c>
      <c r="N213" s="6" t="s">
        <v>145</v>
      </c>
      <c r="O213" s="12">
        <v>1</v>
      </c>
      <c r="P213" s="12">
        <v>89000</v>
      </c>
      <c r="Q213" s="14">
        <v>25</v>
      </c>
      <c r="R213" s="5">
        <v>18</v>
      </c>
      <c r="S213" s="4">
        <v>78765</v>
      </c>
      <c r="T213" s="4" t="s">
        <v>54</v>
      </c>
      <c r="U213" s="3" t="s">
        <v>87</v>
      </c>
      <c r="V213" s="2" t="s">
        <v>138</v>
      </c>
    </row>
    <row r="214" spans="1:22" x14ac:dyDescent="0.35">
      <c r="A214" s="1" t="s">
        <v>931</v>
      </c>
      <c r="B214" s="10">
        <v>45364</v>
      </c>
      <c r="C214" s="2" t="s">
        <v>1769</v>
      </c>
      <c r="D214" s="2" t="s">
        <v>932</v>
      </c>
      <c r="E214" s="2" t="s">
        <v>933</v>
      </c>
      <c r="F214" s="2" t="s">
        <v>934</v>
      </c>
      <c r="G214" s="2" t="s">
        <v>150</v>
      </c>
      <c r="H214" s="1" t="s">
        <v>93</v>
      </c>
      <c r="I214" s="1" t="s">
        <v>38</v>
      </c>
      <c r="J214" s="1" t="s">
        <v>25</v>
      </c>
      <c r="K214" s="2" t="s">
        <v>26</v>
      </c>
      <c r="L214" s="2" t="s">
        <v>27</v>
      </c>
      <c r="M214" s="2" t="s">
        <v>28</v>
      </c>
      <c r="N214" s="2" t="s">
        <v>29</v>
      </c>
      <c r="O214" s="12">
        <v>3</v>
      </c>
      <c r="P214" s="12">
        <v>450</v>
      </c>
      <c r="Q214" s="13">
        <v>25</v>
      </c>
      <c r="R214" s="1">
        <v>5</v>
      </c>
      <c r="S214" s="4">
        <v>1063.125</v>
      </c>
      <c r="T214" s="4" t="s">
        <v>65</v>
      </c>
      <c r="U214" s="3" t="s">
        <v>137</v>
      </c>
      <c r="V214" s="2" t="s">
        <v>95</v>
      </c>
    </row>
    <row r="215" spans="1:22" x14ac:dyDescent="0.35">
      <c r="A215" s="5" t="s">
        <v>935</v>
      </c>
      <c r="B215" s="10">
        <v>45431</v>
      </c>
      <c r="C215" s="6" t="s">
        <v>1774</v>
      </c>
      <c r="D215" s="6" t="s">
        <v>936</v>
      </c>
      <c r="E215" s="6" t="s">
        <v>937</v>
      </c>
      <c r="F215" s="6" t="s">
        <v>938</v>
      </c>
      <c r="G215" s="6" t="s">
        <v>166</v>
      </c>
      <c r="H215" s="5" t="s">
        <v>167</v>
      </c>
      <c r="I215" s="5" t="s">
        <v>71</v>
      </c>
      <c r="J215" s="5" t="s">
        <v>354</v>
      </c>
      <c r="K215" s="6" t="s">
        <v>355</v>
      </c>
      <c r="L215" s="6" t="s">
        <v>62</v>
      </c>
      <c r="M215" s="6" t="s">
        <v>356</v>
      </c>
      <c r="N215" s="6" t="s">
        <v>357</v>
      </c>
      <c r="O215" s="12">
        <v>10</v>
      </c>
      <c r="P215" s="12">
        <v>4500</v>
      </c>
      <c r="Q215" s="14">
        <v>10</v>
      </c>
      <c r="R215" s="5">
        <v>5</v>
      </c>
      <c r="S215" s="4">
        <v>42525</v>
      </c>
      <c r="T215" s="4" t="s">
        <v>294</v>
      </c>
      <c r="U215" s="3" t="s">
        <v>116</v>
      </c>
      <c r="V215" s="2" t="s">
        <v>95</v>
      </c>
    </row>
    <row r="216" spans="1:22" x14ac:dyDescent="0.35">
      <c r="A216" s="1" t="s">
        <v>939</v>
      </c>
      <c r="B216" s="10">
        <v>45329</v>
      </c>
      <c r="C216" s="2" t="s">
        <v>1768</v>
      </c>
      <c r="D216" s="2" t="s">
        <v>940</v>
      </c>
      <c r="E216" s="2" t="s">
        <v>518</v>
      </c>
      <c r="F216" s="2" t="s">
        <v>941</v>
      </c>
      <c r="G216" s="2" t="s">
        <v>109</v>
      </c>
      <c r="H216" s="1" t="s">
        <v>48</v>
      </c>
      <c r="I216" s="1" t="s">
        <v>24</v>
      </c>
      <c r="J216" s="1" t="s">
        <v>49</v>
      </c>
      <c r="K216" s="2" t="s">
        <v>50</v>
      </c>
      <c r="L216" s="2" t="s">
        <v>51</v>
      </c>
      <c r="M216" s="2" t="s">
        <v>52</v>
      </c>
      <c r="N216" s="2" t="s">
        <v>53</v>
      </c>
      <c r="O216" s="12">
        <v>7</v>
      </c>
      <c r="P216" s="12">
        <v>28000</v>
      </c>
      <c r="Q216" s="13">
        <v>20</v>
      </c>
      <c r="R216" s="1">
        <v>18</v>
      </c>
      <c r="S216" s="4">
        <v>185024</v>
      </c>
      <c r="T216" s="4" t="s">
        <v>294</v>
      </c>
      <c r="U216" s="2" t="s">
        <v>116</v>
      </c>
      <c r="V216" s="2" t="s">
        <v>95</v>
      </c>
    </row>
    <row r="217" spans="1:22" x14ac:dyDescent="0.35">
      <c r="A217" s="5" t="s">
        <v>942</v>
      </c>
      <c r="B217" s="10">
        <v>45383</v>
      </c>
      <c r="C217" s="6" t="s">
        <v>1785</v>
      </c>
      <c r="D217" s="6" t="s">
        <v>943</v>
      </c>
      <c r="E217" s="6" t="s">
        <v>733</v>
      </c>
      <c r="F217" s="6" t="s">
        <v>944</v>
      </c>
      <c r="G217" s="6" t="s">
        <v>166</v>
      </c>
      <c r="H217" s="5" t="s">
        <v>167</v>
      </c>
      <c r="I217" s="5" t="s">
        <v>71</v>
      </c>
      <c r="J217" s="5" t="s">
        <v>300</v>
      </c>
      <c r="K217" s="6" t="s">
        <v>301</v>
      </c>
      <c r="L217" s="6" t="s">
        <v>62</v>
      </c>
      <c r="M217" s="6" t="s">
        <v>302</v>
      </c>
      <c r="N217" s="6" t="s">
        <v>303</v>
      </c>
      <c r="O217" s="12">
        <v>6</v>
      </c>
      <c r="P217" s="12">
        <v>4800</v>
      </c>
      <c r="Q217" s="14">
        <v>8</v>
      </c>
      <c r="R217" s="5">
        <v>18</v>
      </c>
      <c r="S217" s="4">
        <v>31265.279999999999</v>
      </c>
      <c r="T217" s="4" t="s">
        <v>1793</v>
      </c>
      <c r="U217" s="6" t="s">
        <v>137</v>
      </c>
      <c r="V217" s="2" t="s">
        <v>138</v>
      </c>
    </row>
    <row r="218" spans="1:22" x14ac:dyDescent="0.35">
      <c r="A218" s="1" t="s">
        <v>945</v>
      </c>
      <c r="B218" s="10">
        <v>45326</v>
      </c>
      <c r="C218" s="2" t="s">
        <v>1784</v>
      </c>
      <c r="D218" s="2" t="s">
        <v>946</v>
      </c>
      <c r="E218" s="2" t="s">
        <v>594</v>
      </c>
      <c r="F218" s="2" t="s">
        <v>947</v>
      </c>
      <c r="G218" s="2" t="s">
        <v>230</v>
      </c>
      <c r="H218" s="1" t="s">
        <v>231</v>
      </c>
      <c r="I218" s="1" t="s">
        <v>24</v>
      </c>
      <c r="J218" s="1" t="s">
        <v>242</v>
      </c>
      <c r="K218" s="2" t="s">
        <v>243</v>
      </c>
      <c r="L218" s="2" t="s">
        <v>84</v>
      </c>
      <c r="M218" s="2" t="s">
        <v>244</v>
      </c>
      <c r="N218" s="2" t="s">
        <v>245</v>
      </c>
      <c r="O218" s="12">
        <v>7</v>
      </c>
      <c r="P218" s="12">
        <v>3200</v>
      </c>
      <c r="Q218" s="13">
        <v>8</v>
      </c>
      <c r="R218" s="1">
        <v>18</v>
      </c>
      <c r="S218" s="4">
        <v>24317.439999999999</v>
      </c>
      <c r="T218" s="4" t="s">
        <v>65</v>
      </c>
      <c r="U218" s="3" t="s">
        <v>30</v>
      </c>
      <c r="V218" s="2" t="s">
        <v>138</v>
      </c>
    </row>
    <row r="219" spans="1:22" x14ac:dyDescent="0.35">
      <c r="A219" s="5" t="s">
        <v>948</v>
      </c>
      <c r="B219" s="10">
        <v>45472</v>
      </c>
      <c r="C219" s="6" t="s">
        <v>1766</v>
      </c>
      <c r="D219" s="6" t="s">
        <v>949</v>
      </c>
      <c r="E219" s="6" t="s">
        <v>887</v>
      </c>
      <c r="F219" s="6" t="s">
        <v>950</v>
      </c>
      <c r="G219" s="6" t="s">
        <v>109</v>
      </c>
      <c r="H219" s="5" t="s">
        <v>48</v>
      </c>
      <c r="I219" s="5" t="s">
        <v>24</v>
      </c>
      <c r="J219" s="5" t="s">
        <v>49</v>
      </c>
      <c r="K219" s="6" t="s">
        <v>50</v>
      </c>
      <c r="L219" s="6" t="s">
        <v>51</v>
      </c>
      <c r="M219" s="6" t="s">
        <v>52</v>
      </c>
      <c r="N219" s="6" t="s">
        <v>53</v>
      </c>
      <c r="O219" s="12">
        <v>1</v>
      </c>
      <c r="P219" s="12">
        <v>28000</v>
      </c>
      <c r="Q219" s="14">
        <v>12</v>
      </c>
      <c r="R219" s="5">
        <v>18</v>
      </c>
      <c r="S219" s="4">
        <v>29075.199999999997</v>
      </c>
      <c r="T219" s="4" t="s">
        <v>1793</v>
      </c>
      <c r="U219" s="3" t="s">
        <v>116</v>
      </c>
      <c r="V219" s="2" t="s">
        <v>95</v>
      </c>
    </row>
    <row r="220" spans="1:22" x14ac:dyDescent="0.35">
      <c r="A220" s="1" t="s">
        <v>951</v>
      </c>
      <c r="B220" s="10">
        <v>45399</v>
      </c>
      <c r="C220" s="2" t="s">
        <v>1777</v>
      </c>
      <c r="D220" s="2" t="s">
        <v>952</v>
      </c>
      <c r="E220" s="2" t="s">
        <v>953</v>
      </c>
      <c r="F220" s="2" t="s">
        <v>954</v>
      </c>
      <c r="G220" s="2" t="s">
        <v>36</v>
      </c>
      <c r="H220" s="1" t="s">
        <v>37</v>
      </c>
      <c r="I220" s="1" t="s">
        <v>38</v>
      </c>
      <c r="J220" s="1" t="s">
        <v>354</v>
      </c>
      <c r="K220" s="2" t="s">
        <v>355</v>
      </c>
      <c r="L220" s="2" t="s">
        <v>62</v>
      </c>
      <c r="M220" s="2" t="s">
        <v>356</v>
      </c>
      <c r="N220" s="2" t="s">
        <v>357</v>
      </c>
      <c r="O220" s="12">
        <v>2</v>
      </c>
      <c r="P220" s="12">
        <v>4500</v>
      </c>
      <c r="Q220" s="13">
        <v>15</v>
      </c>
      <c r="R220" s="1">
        <v>5</v>
      </c>
      <c r="S220" s="4">
        <v>8032.5</v>
      </c>
      <c r="T220" s="4" t="s">
        <v>65</v>
      </c>
      <c r="U220" s="3" t="s">
        <v>116</v>
      </c>
      <c r="V220" s="2" t="s">
        <v>95</v>
      </c>
    </row>
    <row r="221" spans="1:22" x14ac:dyDescent="0.35">
      <c r="A221" s="5" t="s">
        <v>955</v>
      </c>
      <c r="B221" s="10">
        <v>45446</v>
      </c>
      <c r="C221" s="6" t="s">
        <v>1786</v>
      </c>
      <c r="D221" s="6" t="s">
        <v>956</v>
      </c>
      <c r="E221" s="6" t="s">
        <v>615</v>
      </c>
      <c r="F221" s="6" t="s">
        <v>957</v>
      </c>
      <c r="G221" s="6" t="s">
        <v>36</v>
      </c>
      <c r="H221" s="5" t="s">
        <v>37</v>
      </c>
      <c r="I221" s="5" t="s">
        <v>38</v>
      </c>
      <c r="J221" s="5" t="s">
        <v>434</v>
      </c>
      <c r="K221" s="6" t="s">
        <v>435</v>
      </c>
      <c r="L221" s="6" t="s">
        <v>62</v>
      </c>
      <c r="M221" s="6" t="s">
        <v>160</v>
      </c>
      <c r="N221" s="6" t="s">
        <v>436</v>
      </c>
      <c r="O221" s="12">
        <v>1</v>
      </c>
      <c r="P221" s="12">
        <v>1200</v>
      </c>
      <c r="Q221" s="14">
        <v>12</v>
      </c>
      <c r="R221" s="5">
        <v>5</v>
      </c>
      <c r="S221" s="4">
        <v>1108.8</v>
      </c>
      <c r="T221" s="4" t="s">
        <v>1794</v>
      </c>
      <c r="U221" s="6" t="s">
        <v>137</v>
      </c>
      <c r="V221" s="2" t="s">
        <v>138</v>
      </c>
    </row>
    <row r="222" spans="1:22" x14ac:dyDescent="0.35">
      <c r="A222" s="1" t="s">
        <v>958</v>
      </c>
      <c r="B222" s="10">
        <v>45321</v>
      </c>
      <c r="C222" s="2" t="s">
        <v>959</v>
      </c>
      <c r="D222" s="2" t="s">
        <v>960</v>
      </c>
      <c r="E222" s="2" t="s">
        <v>961</v>
      </c>
      <c r="F222" s="2" t="s">
        <v>962</v>
      </c>
      <c r="G222" s="2" t="s">
        <v>550</v>
      </c>
      <c r="H222" s="1" t="s">
        <v>37</v>
      </c>
      <c r="I222" s="1" t="s">
        <v>38</v>
      </c>
      <c r="J222" s="1" t="s">
        <v>215</v>
      </c>
      <c r="K222" s="2" t="s">
        <v>216</v>
      </c>
      <c r="L222" s="2" t="s">
        <v>27</v>
      </c>
      <c r="M222" s="2" t="s">
        <v>127</v>
      </c>
      <c r="N222" s="2" t="s">
        <v>217</v>
      </c>
      <c r="O222" s="12">
        <v>3</v>
      </c>
      <c r="P222" s="12">
        <v>40</v>
      </c>
      <c r="Q222" s="13">
        <v>25</v>
      </c>
      <c r="R222" s="1">
        <v>5</v>
      </c>
      <c r="S222" s="4">
        <v>94.5</v>
      </c>
      <c r="T222" s="4" t="s">
        <v>1793</v>
      </c>
      <c r="U222" s="2" t="s">
        <v>137</v>
      </c>
      <c r="V222" s="2" t="s">
        <v>138</v>
      </c>
    </row>
    <row r="223" spans="1:22" x14ac:dyDescent="0.35">
      <c r="A223" s="5" t="s">
        <v>963</v>
      </c>
      <c r="B223" s="10">
        <v>45377</v>
      </c>
      <c r="C223" s="6" t="s">
        <v>296</v>
      </c>
      <c r="D223" s="6" t="s">
        <v>964</v>
      </c>
      <c r="E223" s="6" t="s">
        <v>965</v>
      </c>
      <c r="F223" s="6" t="s">
        <v>966</v>
      </c>
      <c r="G223" s="6" t="s">
        <v>550</v>
      </c>
      <c r="H223" s="5" t="s">
        <v>37</v>
      </c>
      <c r="I223" s="5" t="s">
        <v>38</v>
      </c>
      <c r="J223" s="5" t="s">
        <v>172</v>
      </c>
      <c r="K223" s="6" t="s">
        <v>173</v>
      </c>
      <c r="L223" s="6" t="s">
        <v>84</v>
      </c>
      <c r="M223" s="6" t="s">
        <v>174</v>
      </c>
      <c r="N223" s="6" t="s">
        <v>175</v>
      </c>
      <c r="O223" s="12">
        <v>5</v>
      </c>
      <c r="P223" s="12">
        <v>299</v>
      </c>
      <c r="Q223" s="14">
        <v>0</v>
      </c>
      <c r="R223" s="5">
        <v>18</v>
      </c>
      <c r="S223" s="4">
        <v>1764.1</v>
      </c>
      <c r="T223" s="4" t="s">
        <v>294</v>
      </c>
      <c r="U223" s="3" t="s">
        <v>116</v>
      </c>
      <c r="V223" s="2" t="s">
        <v>138</v>
      </c>
    </row>
    <row r="224" spans="1:22" x14ac:dyDescent="0.35">
      <c r="A224" s="1" t="s">
        <v>967</v>
      </c>
      <c r="B224" s="10">
        <v>45306</v>
      </c>
      <c r="C224" s="2" t="s">
        <v>262</v>
      </c>
      <c r="D224" s="2" t="s">
        <v>968</v>
      </c>
      <c r="E224" s="2" t="s">
        <v>306</v>
      </c>
      <c r="F224" s="2" t="s">
        <v>969</v>
      </c>
      <c r="G224" s="2" t="s">
        <v>109</v>
      </c>
      <c r="H224" s="1" t="s">
        <v>48</v>
      </c>
      <c r="I224" s="1" t="s">
        <v>24</v>
      </c>
      <c r="J224" s="1" t="s">
        <v>215</v>
      </c>
      <c r="K224" s="2" t="s">
        <v>216</v>
      </c>
      <c r="L224" s="2" t="s">
        <v>27</v>
      </c>
      <c r="M224" s="2" t="s">
        <v>127</v>
      </c>
      <c r="N224" s="2" t="s">
        <v>217</v>
      </c>
      <c r="O224" s="12">
        <v>1</v>
      </c>
      <c r="P224" s="12">
        <v>40</v>
      </c>
      <c r="Q224" s="13">
        <v>25</v>
      </c>
      <c r="R224" s="1">
        <v>5</v>
      </c>
      <c r="S224" s="4">
        <v>31.5</v>
      </c>
      <c r="T224" s="4" t="s">
        <v>1793</v>
      </c>
      <c r="U224" s="2" t="s">
        <v>137</v>
      </c>
      <c r="V224" s="2" t="s">
        <v>138</v>
      </c>
    </row>
    <row r="225" spans="1:22" x14ac:dyDescent="0.35">
      <c r="A225" s="5" t="s">
        <v>970</v>
      </c>
      <c r="B225" s="10">
        <v>45310</v>
      </c>
      <c r="C225" s="6" t="s">
        <v>1766</v>
      </c>
      <c r="D225" s="6" t="s">
        <v>971</v>
      </c>
      <c r="E225" s="6" t="s">
        <v>887</v>
      </c>
      <c r="F225" s="6" t="s">
        <v>972</v>
      </c>
      <c r="G225" s="6" t="s">
        <v>315</v>
      </c>
      <c r="H225" s="5" t="s">
        <v>256</v>
      </c>
      <c r="I225" s="5" t="s">
        <v>24</v>
      </c>
      <c r="J225" s="5" t="s">
        <v>39</v>
      </c>
      <c r="K225" s="6" t="s">
        <v>40</v>
      </c>
      <c r="L225" s="6" t="s">
        <v>41</v>
      </c>
      <c r="M225" s="6" t="s">
        <v>42</v>
      </c>
      <c r="N225" s="6" t="s">
        <v>43</v>
      </c>
      <c r="O225" s="12">
        <v>3</v>
      </c>
      <c r="P225" s="12">
        <v>25000</v>
      </c>
      <c r="Q225" s="14">
        <v>12</v>
      </c>
      <c r="R225" s="5">
        <v>3</v>
      </c>
      <c r="S225" s="4">
        <v>67980</v>
      </c>
      <c r="T225" s="4" t="s">
        <v>1793</v>
      </c>
      <c r="U225" s="6" t="s">
        <v>195</v>
      </c>
      <c r="V225" s="2" t="s">
        <v>95</v>
      </c>
    </row>
    <row r="226" spans="1:22" x14ac:dyDescent="0.35">
      <c r="A226" s="1" t="s">
        <v>973</v>
      </c>
      <c r="B226" s="10">
        <v>45296</v>
      </c>
      <c r="C226" s="2" t="s">
        <v>959</v>
      </c>
      <c r="D226" s="2" t="s">
        <v>974</v>
      </c>
      <c r="E226" s="2" t="s">
        <v>975</v>
      </c>
      <c r="F226" s="2" t="s">
        <v>976</v>
      </c>
      <c r="G226" s="2" t="s">
        <v>349</v>
      </c>
      <c r="H226" s="1" t="s">
        <v>209</v>
      </c>
      <c r="I226" s="1" t="s">
        <v>210</v>
      </c>
      <c r="J226" s="1" t="s">
        <v>434</v>
      </c>
      <c r="K226" s="2" t="s">
        <v>435</v>
      </c>
      <c r="L226" s="2" t="s">
        <v>62</v>
      </c>
      <c r="M226" s="2" t="s">
        <v>160</v>
      </c>
      <c r="N226" s="2" t="s">
        <v>436</v>
      </c>
      <c r="O226" s="12">
        <v>2</v>
      </c>
      <c r="P226" s="12">
        <v>1200</v>
      </c>
      <c r="Q226" s="13">
        <v>25</v>
      </c>
      <c r="R226" s="1">
        <v>5</v>
      </c>
      <c r="S226" s="4">
        <v>1890</v>
      </c>
      <c r="T226" s="4" t="s">
        <v>294</v>
      </c>
      <c r="U226" s="2" t="s">
        <v>195</v>
      </c>
      <c r="V226" s="2" t="s">
        <v>95</v>
      </c>
    </row>
    <row r="227" spans="1:22" x14ac:dyDescent="0.35">
      <c r="A227" s="5" t="s">
        <v>977</v>
      </c>
      <c r="B227" s="10">
        <v>45394</v>
      </c>
      <c r="C227" s="6" t="s">
        <v>76</v>
      </c>
      <c r="D227" s="6" t="s">
        <v>978</v>
      </c>
      <c r="E227" s="6" t="s">
        <v>313</v>
      </c>
      <c r="F227" s="6" t="s">
        <v>979</v>
      </c>
      <c r="G227" s="6" t="s">
        <v>166</v>
      </c>
      <c r="H227" s="5" t="s">
        <v>167</v>
      </c>
      <c r="I227" s="5" t="s">
        <v>71</v>
      </c>
      <c r="J227" s="5" t="s">
        <v>60</v>
      </c>
      <c r="K227" s="6" t="s">
        <v>61</v>
      </c>
      <c r="L227" s="6" t="s">
        <v>84</v>
      </c>
      <c r="M227" s="6" t="s">
        <v>63</v>
      </c>
      <c r="N227" s="6" t="s">
        <v>64</v>
      </c>
      <c r="O227" s="12">
        <v>1</v>
      </c>
      <c r="P227" s="12">
        <v>3500</v>
      </c>
      <c r="Q227" s="14">
        <v>25</v>
      </c>
      <c r="R227" s="5">
        <v>18</v>
      </c>
      <c r="S227" s="4">
        <v>3097.5</v>
      </c>
      <c r="T227" s="4" t="s">
        <v>1793</v>
      </c>
      <c r="U227" s="3" t="s">
        <v>30</v>
      </c>
      <c r="V227" s="2" t="s">
        <v>138</v>
      </c>
    </row>
    <row r="228" spans="1:22" x14ac:dyDescent="0.35">
      <c r="A228" s="1" t="s">
        <v>980</v>
      </c>
      <c r="B228" s="10">
        <v>45298</v>
      </c>
      <c r="C228" s="2" t="s">
        <v>330</v>
      </c>
      <c r="D228" s="2" t="s">
        <v>981</v>
      </c>
      <c r="E228" s="2" t="s">
        <v>982</v>
      </c>
      <c r="F228" s="2" t="s">
        <v>983</v>
      </c>
      <c r="G228" s="2" t="s">
        <v>237</v>
      </c>
      <c r="H228" s="1" t="s">
        <v>23</v>
      </c>
      <c r="I228" s="1" t="s">
        <v>24</v>
      </c>
      <c r="J228" s="1" t="s">
        <v>257</v>
      </c>
      <c r="K228" s="2" t="s">
        <v>258</v>
      </c>
      <c r="L228" s="2" t="s">
        <v>62</v>
      </c>
      <c r="M228" s="2" t="s">
        <v>259</v>
      </c>
      <c r="N228" s="2" t="s">
        <v>260</v>
      </c>
      <c r="O228" s="12">
        <v>4</v>
      </c>
      <c r="P228" s="12">
        <v>3500</v>
      </c>
      <c r="Q228" s="13">
        <v>25</v>
      </c>
      <c r="R228" s="1">
        <v>5</v>
      </c>
      <c r="S228" s="4">
        <v>11025</v>
      </c>
      <c r="T228" s="4" t="s">
        <v>65</v>
      </c>
      <c r="U228" s="2" t="s">
        <v>137</v>
      </c>
      <c r="V228" s="2" t="s">
        <v>95</v>
      </c>
    </row>
    <row r="229" spans="1:22" x14ac:dyDescent="0.35">
      <c r="A229" s="5" t="s">
        <v>984</v>
      </c>
      <c r="B229" s="10">
        <v>45412</v>
      </c>
      <c r="C229" s="6" t="s">
        <v>296</v>
      </c>
      <c r="D229" s="6" t="s">
        <v>985</v>
      </c>
      <c r="E229" s="6" t="s">
        <v>808</v>
      </c>
      <c r="F229" s="3" t="s">
        <v>1789</v>
      </c>
      <c r="G229" s="3" t="s">
        <v>237</v>
      </c>
      <c r="H229" s="5" t="s">
        <v>23</v>
      </c>
      <c r="I229" s="5" t="s">
        <v>24</v>
      </c>
      <c r="J229" s="5" t="s">
        <v>184</v>
      </c>
      <c r="K229" s="6" t="s">
        <v>185</v>
      </c>
      <c r="L229" s="6" t="s">
        <v>51</v>
      </c>
      <c r="M229" s="6" t="s">
        <v>186</v>
      </c>
      <c r="N229" s="6" t="s">
        <v>74</v>
      </c>
      <c r="O229" s="12">
        <v>4</v>
      </c>
      <c r="P229" s="12">
        <v>35000</v>
      </c>
      <c r="Q229" s="14">
        <v>8</v>
      </c>
      <c r="R229" s="5">
        <v>18</v>
      </c>
      <c r="S229" s="4">
        <v>151984</v>
      </c>
      <c r="T229" s="4" t="s">
        <v>65</v>
      </c>
      <c r="U229" s="3" t="s">
        <v>137</v>
      </c>
      <c r="V229" s="2" t="s">
        <v>95</v>
      </c>
    </row>
    <row r="230" spans="1:22" x14ac:dyDescent="0.35">
      <c r="A230" s="1" t="s">
        <v>986</v>
      </c>
      <c r="B230" s="10">
        <v>45322</v>
      </c>
      <c r="C230" s="2" t="s">
        <v>1787</v>
      </c>
      <c r="D230" s="2" t="s">
        <v>987</v>
      </c>
      <c r="E230" s="2" t="s">
        <v>706</v>
      </c>
      <c r="F230" s="2" t="s">
        <v>988</v>
      </c>
      <c r="G230" s="2" t="s">
        <v>114</v>
      </c>
      <c r="H230" s="1" t="s">
        <v>115</v>
      </c>
      <c r="I230" s="1" t="s">
        <v>71</v>
      </c>
      <c r="J230" s="1" t="s">
        <v>342</v>
      </c>
      <c r="K230" s="2" t="s">
        <v>343</v>
      </c>
      <c r="L230" s="2" t="s">
        <v>84</v>
      </c>
      <c r="M230" s="2" t="s">
        <v>244</v>
      </c>
      <c r="N230" s="2" t="s">
        <v>344</v>
      </c>
      <c r="O230" s="12">
        <v>2</v>
      </c>
      <c r="P230" s="12">
        <v>2200</v>
      </c>
      <c r="Q230" s="13">
        <v>10</v>
      </c>
      <c r="R230" s="1">
        <v>12</v>
      </c>
      <c r="S230" s="4">
        <v>4435.2000000000007</v>
      </c>
      <c r="T230" s="4" t="s">
        <v>54</v>
      </c>
      <c r="U230" s="3" t="s">
        <v>137</v>
      </c>
      <c r="V230" s="2" t="s">
        <v>95</v>
      </c>
    </row>
    <row r="231" spans="1:22" x14ac:dyDescent="0.35">
      <c r="A231" s="5" t="s">
        <v>989</v>
      </c>
      <c r="B231" s="10">
        <v>45398</v>
      </c>
      <c r="C231" s="6" t="s">
        <v>346</v>
      </c>
      <c r="D231" s="6" t="s">
        <v>990</v>
      </c>
      <c r="E231" s="6" t="s">
        <v>847</v>
      </c>
      <c r="F231" s="6" t="s">
        <v>991</v>
      </c>
      <c r="G231" s="6" t="s">
        <v>109</v>
      </c>
      <c r="H231" s="5" t="s">
        <v>48</v>
      </c>
      <c r="I231" s="5" t="s">
        <v>24</v>
      </c>
      <c r="J231" s="5" t="s">
        <v>39</v>
      </c>
      <c r="K231" s="6" t="s">
        <v>40</v>
      </c>
      <c r="L231" s="6" t="s">
        <v>41</v>
      </c>
      <c r="M231" s="6" t="s">
        <v>42</v>
      </c>
      <c r="N231" s="6" t="s">
        <v>43</v>
      </c>
      <c r="O231" s="12">
        <v>10</v>
      </c>
      <c r="P231" s="12">
        <v>25000</v>
      </c>
      <c r="Q231" s="14">
        <v>80</v>
      </c>
      <c r="R231" s="5">
        <v>3</v>
      </c>
      <c r="S231" s="4">
        <v>51499.999999999985</v>
      </c>
      <c r="T231" s="4" t="s">
        <v>94</v>
      </c>
      <c r="U231" s="3" t="s">
        <v>30</v>
      </c>
      <c r="V231" s="2" t="s">
        <v>138</v>
      </c>
    </row>
    <row r="232" spans="1:22" x14ac:dyDescent="0.35">
      <c r="A232" s="1" t="s">
        <v>992</v>
      </c>
      <c r="B232" s="10">
        <v>45421</v>
      </c>
      <c r="C232" s="2" t="s">
        <v>1782</v>
      </c>
      <c r="D232" s="2" t="s">
        <v>993</v>
      </c>
      <c r="E232" s="2" t="s">
        <v>645</v>
      </c>
      <c r="F232" s="2" t="s">
        <v>994</v>
      </c>
      <c r="G232" s="2" t="s">
        <v>550</v>
      </c>
      <c r="H232" s="1" t="s">
        <v>37</v>
      </c>
      <c r="I232" s="1" t="s">
        <v>38</v>
      </c>
      <c r="J232" s="1" t="s">
        <v>72</v>
      </c>
      <c r="K232" s="2" t="s">
        <v>73</v>
      </c>
      <c r="L232" s="2" t="s">
        <v>51</v>
      </c>
      <c r="M232" s="2" t="s">
        <v>52</v>
      </c>
      <c r="N232" s="2" t="s">
        <v>74</v>
      </c>
      <c r="O232" s="12">
        <v>2</v>
      </c>
      <c r="P232" s="12">
        <v>14000</v>
      </c>
      <c r="Q232" s="13">
        <v>10</v>
      </c>
      <c r="R232" s="1">
        <v>18</v>
      </c>
      <c r="S232" s="4">
        <v>29736</v>
      </c>
      <c r="T232" s="4" t="s">
        <v>294</v>
      </c>
      <c r="U232" s="3" t="s">
        <v>137</v>
      </c>
      <c r="V232" s="2" t="s">
        <v>138</v>
      </c>
    </row>
    <row r="233" spans="1:22" x14ac:dyDescent="0.35">
      <c r="A233" s="5" t="s">
        <v>995</v>
      </c>
      <c r="B233" s="10">
        <v>45321</v>
      </c>
      <c r="C233" s="6" t="s">
        <v>76</v>
      </c>
      <c r="D233" s="6" t="s">
        <v>996</v>
      </c>
      <c r="E233" s="6" t="s">
        <v>667</v>
      </c>
      <c r="F233" s="6" t="s">
        <v>997</v>
      </c>
      <c r="G233" s="6" t="s">
        <v>150</v>
      </c>
      <c r="H233" s="5" t="s">
        <v>93</v>
      </c>
      <c r="I233" s="5" t="s">
        <v>38</v>
      </c>
      <c r="J233" s="5" t="s">
        <v>250</v>
      </c>
      <c r="K233" s="6" t="s">
        <v>251</v>
      </c>
      <c r="L233" s="6" t="s">
        <v>84</v>
      </c>
      <c r="M233" s="6" t="s">
        <v>85</v>
      </c>
      <c r="N233" s="6" t="s">
        <v>252</v>
      </c>
      <c r="O233" s="12">
        <v>7</v>
      </c>
      <c r="P233" s="12">
        <v>42000</v>
      </c>
      <c r="Q233" s="14">
        <v>5</v>
      </c>
      <c r="R233" s="5">
        <v>18</v>
      </c>
      <c r="S233" s="4">
        <v>329574</v>
      </c>
      <c r="T233" s="4" t="s">
        <v>1793</v>
      </c>
      <c r="U233" s="3" t="s">
        <v>137</v>
      </c>
      <c r="V233" s="2" t="s">
        <v>138</v>
      </c>
    </row>
    <row r="234" spans="1:22" x14ac:dyDescent="0.35">
      <c r="A234" s="1" t="s">
        <v>998</v>
      </c>
      <c r="B234" s="10">
        <v>45453</v>
      </c>
      <c r="C234" s="2" t="s">
        <v>1784</v>
      </c>
      <c r="D234" s="2" t="s">
        <v>999</v>
      </c>
      <c r="E234" s="2" t="s">
        <v>729</v>
      </c>
      <c r="F234" s="2" t="s">
        <v>1000</v>
      </c>
      <c r="G234" s="2" t="s">
        <v>550</v>
      </c>
      <c r="H234" s="1" t="s">
        <v>37</v>
      </c>
      <c r="I234" s="1" t="s">
        <v>38</v>
      </c>
      <c r="J234" s="1" t="s">
        <v>669</v>
      </c>
      <c r="K234" s="2" t="s">
        <v>670</v>
      </c>
      <c r="L234" s="2" t="s">
        <v>84</v>
      </c>
      <c r="M234" s="2" t="s">
        <v>85</v>
      </c>
      <c r="N234" s="2" t="s">
        <v>671</v>
      </c>
      <c r="O234" s="12">
        <v>4</v>
      </c>
      <c r="P234" s="12">
        <v>38000</v>
      </c>
      <c r="Q234" s="13">
        <v>10</v>
      </c>
      <c r="R234" s="1">
        <v>18</v>
      </c>
      <c r="S234" s="4">
        <v>161424</v>
      </c>
      <c r="T234" s="4" t="s">
        <v>65</v>
      </c>
      <c r="U234" s="3" t="s">
        <v>137</v>
      </c>
      <c r="V234" s="2" t="s">
        <v>95</v>
      </c>
    </row>
    <row r="235" spans="1:22" x14ac:dyDescent="0.35">
      <c r="A235" s="5" t="s">
        <v>1001</v>
      </c>
      <c r="B235" s="10">
        <v>45410</v>
      </c>
      <c r="C235" s="6" t="s">
        <v>177</v>
      </c>
      <c r="D235" s="6" t="s">
        <v>1002</v>
      </c>
      <c r="E235" s="6" t="s">
        <v>1789</v>
      </c>
      <c r="F235" s="6" t="s">
        <v>1003</v>
      </c>
      <c r="G235" s="6" t="s">
        <v>315</v>
      </c>
      <c r="H235" s="5" t="s">
        <v>256</v>
      </c>
      <c r="I235" s="5" t="s">
        <v>24</v>
      </c>
      <c r="J235" s="5" t="s">
        <v>49</v>
      </c>
      <c r="K235" s="6" t="s">
        <v>50</v>
      </c>
      <c r="L235" s="6" t="s">
        <v>51</v>
      </c>
      <c r="M235" s="6" t="s">
        <v>52</v>
      </c>
      <c r="N235" s="6" t="s">
        <v>53</v>
      </c>
      <c r="O235" s="12">
        <v>10</v>
      </c>
      <c r="P235" s="12">
        <v>28000</v>
      </c>
      <c r="Q235" s="14">
        <v>10</v>
      </c>
      <c r="R235" s="5">
        <v>18</v>
      </c>
      <c r="S235" s="4">
        <v>297360</v>
      </c>
      <c r="T235" s="4" t="s">
        <v>294</v>
      </c>
      <c r="U235" s="3" t="s">
        <v>116</v>
      </c>
      <c r="V235" s="2" t="s">
        <v>95</v>
      </c>
    </row>
    <row r="236" spans="1:22" x14ac:dyDescent="0.35">
      <c r="A236" s="1" t="s">
        <v>1004</v>
      </c>
      <c r="B236" s="10">
        <v>45313</v>
      </c>
      <c r="C236" s="2" t="s">
        <v>1767</v>
      </c>
      <c r="D236" s="2" t="s">
        <v>1005</v>
      </c>
      <c r="E236" s="2" t="s">
        <v>1006</v>
      </c>
      <c r="F236" s="2" t="s">
        <v>1007</v>
      </c>
      <c r="G236" s="2" t="s">
        <v>109</v>
      </c>
      <c r="H236" s="1" t="s">
        <v>48</v>
      </c>
      <c r="I236" s="1" t="s">
        <v>24</v>
      </c>
      <c r="J236" s="1" t="s">
        <v>60</v>
      </c>
      <c r="K236" s="2" t="s">
        <v>61</v>
      </c>
      <c r="L236" s="2" t="s">
        <v>62</v>
      </c>
      <c r="M236" s="2" t="s">
        <v>63</v>
      </c>
      <c r="N236" s="2" t="s">
        <v>64</v>
      </c>
      <c r="O236" s="12">
        <v>1</v>
      </c>
      <c r="P236" s="12">
        <v>3500</v>
      </c>
      <c r="Q236" s="13">
        <v>20</v>
      </c>
      <c r="R236" s="1">
        <v>18</v>
      </c>
      <c r="S236" s="4">
        <v>3304</v>
      </c>
      <c r="T236" s="4" t="s">
        <v>65</v>
      </c>
      <c r="U236" s="3" t="s">
        <v>137</v>
      </c>
      <c r="V236" s="2" t="s">
        <v>95</v>
      </c>
    </row>
    <row r="237" spans="1:22" x14ac:dyDescent="0.35">
      <c r="A237" s="5" t="s">
        <v>1008</v>
      </c>
      <c r="B237" s="10">
        <v>45300</v>
      </c>
      <c r="C237" s="6" t="s">
        <v>262</v>
      </c>
      <c r="D237" s="6" t="s">
        <v>1788</v>
      </c>
      <c r="E237" s="6" t="s">
        <v>264</v>
      </c>
      <c r="F237" s="6" t="s">
        <v>1009</v>
      </c>
      <c r="G237" s="6" t="s">
        <v>70</v>
      </c>
      <c r="H237" s="5" t="s">
        <v>70</v>
      </c>
      <c r="I237" s="5" t="s">
        <v>71</v>
      </c>
      <c r="J237" s="5" t="s">
        <v>250</v>
      </c>
      <c r="K237" s="6" t="s">
        <v>251</v>
      </c>
      <c r="L237" s="6" t="s">
        <v>84</v>
      </c>
      <c r="M237" s="6" t="s">
        <v>85</v>
      </c>
      <c r="N237" s="6" t="s">
        <v>252</v>
      </c>
      <c r="O237" s="12">
        <v>8</v>
      </c>
      <c r="P237" s="12">
        <v>42000</v>
      </c>
      <c r="Q237" s="14">
        <v>15</v>
      </c>
      <c r="R237" s="5">
        <v>18</v>
      </c>
      <c r="S237" s="4">
        <v>337008</v>
      </c>
      <c r="T237" s="4" t="s">
        <v>294</v>
      </c>
      <c r="U237" s="3" t="s">
        <v>137</v>
      </c>
      <c r="V237" s="2" t="s">
        <v>138</v>
      </c>
    </row>
    <row r="238" spans="1:22" x14ac:dyDescent="0.35">
      <c r="A238" s="1" t="s">
        <v>1010</v>
      </c>
      <c r="B238" s="10">
        <v>45353</v>
      </c>
      <c r="C238" s="2" t="s">
        <v>1785</v>
      </c>
      <c r="D238" s="2" t="s">
        <v>1011</v>
      </c>
      <c r="E238" s="2" t="s">
        <v>1012</v>
      </c>
      <c r="F238" s="2" t="s">
        <v>1013</v>
      </c>
      <c r="G238" s="2" t="s">
        <v>70</v>
      </c>
      <c r="H238" s="1" t="s">
        <v>70</v>
      </c>
      <c r="I238" s="1" t="s">
        <v>71</v>
      </c>
      <c r="J238" s="1" t="s">
        <v>669</v>
      </c>
      <c r="K238" s="2" t="s">
        <v>670</v>
      </c>
      <c r="L238" s="2" t="s">
        <v>84</v>
      </c>
      <c r="M238" s="2" t="s">
        <v>85</v>
      </c>
      <c r="N238" s="2" t="s">
        <v>671</v>
      </c>
      <c r="O238" s="12">
        <v>1</v>
      </c>
      <c r="P238" s="12">
        <v>38000</v>
      </c>
      <c r="Q238" s="13">
        <v>8</v>
      </c>
      <c r="R238" s="1">
        <v>18</v>
      </c>
      <c r="S238" s="4">
        <v>41252.799999999996</v>
      </c>
      <c r="T238" s="4" t="s">
        <v>294</v>
      </c>
      <c r="U238" s="2" t="s">
        <v>116</v>
      </c>
      <c r="V238" s="2" t="s">
        <v>95</v>
      </c>
    </row>
    <row r="239" spans="1:22" x14ac:dyDescent="0.35">
      <c r="A239" s="5" t="s">
        <v>1014</v>
      </c>
      <c r="B239" s="10">
        <v>45314</v>
      </c>
      <c r="C239" s="6" t="s">
        <v>1765</v>
      </c>
      <c r="D239" s="6" t="s">
        <v>1015</v>
      </c>
      <c r="E239" s="6" t="s">
        <v>652</v>
      </c>
      <c r="F239" s="6" t="s">
        <v>1016</v>
      </c>
      <c r="G239" s="6" t="s">
        <v>166</v>
      </c>
      <c r="H239" s="5" t="s">
        <v>167</v>
      </c>
      <c r="I239" s="5" t="s">
        <v>71</v>
      </c>
      <c r="J239" s="5" t="s">
        <v>133</v>
      </c>
      <c r="K239" s="6" t="s">
        <v>134</v>
      </c>
      <c r="L239" s="6" t="s">
        <v>51</v>
      </c>
      <c r="M239" s="6" t="s">
        <v>135</v>
      </c>
      <c r="N239" s="6" t="s">
        <v>136</v>
      </c>
      <c r="O239" s="12">
        <v>8</v>
      </c>
      <c r="P239" s="12">
        <v>55000</v>
      </c>
      <c r="Q239" s="14">
        <v>12</v>
      </c>
      <c r="R239" s="5">
        <v>18</v>
      </c>
      <c r="S239" s="4">
        <v>456896</v>
      </c>
      <c r="T239" s="4" t="s">
        <v>94</v>
      </c>
      <c r="U239" s="6" t="s">
        <v>30</v>
      </c>
      <c r="V239" s="2" t="s">
        <v>95</v>
      </c>
    </row>
    <row r="240" spans="1:22" x14ac:dyDescent="0.35">
      <c r="A240" s="1" t="s">
        <v>1017</v>
      </c>
      <c r="B240" s="10">
        <v>45425</v>
      </c>
      <c r="C240" s="2" t="s">
        <v>1783</v>
      </c>
      <c r="D240" s="2" t="s">
        <v>1018</v>
      </c>
      <c r="E240" s="2" t="s">
        <v>393</v>
      </c>
      <c r="F240" s="2" t="s">
        <v>1019</v>
      </c>
      <c r="G240" s="2" t="s">
        <v>36</v>
      </c>
      <c r="H240" s="1" t="s">
        <v>37</v>
      </c>
      <c r="I240" s="1" t="s">
        <v>38</v>
      </c>
      <c r="J240" s="1" t="s">
        <v>276</v>
      </c>
      <c r="K240" s="2" t="s">
        <v>277</v>
      </c>
      <c r="L240" s="2" t="s">
        <v>51</v>
      </c>
      <c r="M240" s="2" t="s">
        <v>102</v>
      </c>
      <c r="N240" s="2" t="s">
        <v>278</v>
      </c>
      <c r="O240" s="12">
        <v>5</v>
      </c>
      <c r="P240" s="12">
        <v>1500</v>
      </c>
      <c r="Q240" s="13">
        <v>20</v>
      </c>
      <c r="R240" s="1">
        <v>18</v>
      </c>
      <c r="S240" s="4">
        <v>7080</v>
      </c>
      <c r="T240" s="4" t="s">
        <v>94</v>
      </c>
      <c r="U240" s="2" t="s">
        <v>137</v>
      </c>
      <c r="V240" s="2" t="s">
        <v>95</v>
      </c>
    </row>
    <row r="241" spans="1:22" x14ac:dyDescent="0.35">
      <c r="A241" s="5" t="s">
        <v>1020</v>
      </c>
      <c r="B241" s="10">
        <v>45338</v>
      </c>
      <c r="C241" s="6" t="s">
        <v>458</v>
      </c>
      <c r="D241" s="6" t="s">
        <v>1021</v>
      </c>
      <c r="E241" s="6" t="s">
        <v>1022</v>
      </c>
      <c r="F241" s="6" t="s">
        <v>1023</v>
      </c>
      <c r="G241" s="6" t="s">
        <v>70</v>
      </c>
      <c r="H241" s="5" t="s">
        <v>70</v>
      </c>
      <c r="I241" s="5" t="s">
        <v>71</v>
      </c>
      <c r="J241" s="5" t="s">
        <v>49</v>
      </c>
      <c r="K241" s="6" t="s">
        <v>50</v>
      </c>
      <c r="L241" s="6" t="s">
        <v>51</v>
      </c>
      <c r="M241" s="6" t="s">
        <v>52</v>
      </c>
      <c r="N241" s="6" t="s">
        <v>53</v>
      </c>
      <c r="O241" s="12">
        <v>5</v>
      </c>
      <c r="P241" s="12">
        <v>28000</v>
      </c>
      <c r="Q241" s="14">
        <v>8</v>
      </c>
      <c r="R241" s="5">
        <v>18</v>
      </c>
      <c r="S241" s="4">
        <v>151984</v>
      </c>
      <c r="T241" s="4" t="s">
        <v>65</v>
      </c>
      <c r="U241" s="3" t="s">
        <v>87</v>
      </c>
      <c r="V241" s="2" t="s">
        <v>138</v>
      </c>
    </row>
    <row r="242" spans="1:22" x14ac:dyDescent="0.35">
      <c r="A242" s="1" t="s">
        <v>1024</v>
      </c>
      <c r="B242" s="10">
        <v>45331</v>
      </c>
      <c r="C242" s="2" t="s">
        <v>1786</v>
      </c>
      <c r="D242" s="2" t="s">
        <v>1025</v>
      </c>
      <c r="E242" s="2" t="s">
        <v>772</v>
      </c>
      <c r="F242" s="2" t="s">
        <v>1026</v>
      </c>
      <c r="G242" s="2" t="s">
        <v>315</v>
      </c>
      <c r="H242" s="1" t="s">
        <v>256</v>
      </c>
      <c r="I242" s="1" t="s">
        <v>24</v>
      </c>
      <c r="J242" s="1" t="s">
        <v>125</v>
      </c>
      <c r="K242" s="2" t="s">
        <v>126</v>
      </c>
      <c r="L242" s="2" t="s">
        <v>27</v>
      </c>
      <c r="M242" s="2" t="s">
        <v>127</v>
      </c>
      <c r="N242" s="2" t="s">
        <v>128</v>
      </c>
      <c r="O242" s="12">
        <v>6</v>
      </c>
      <c r="P242" s="12">
        <v>50</v>
      </c>
      <c r="Q242" s="13">
        <v>5</v>
      </c>
      <c r="R242" s="1">
        <v>5</v>
      </c>
      <c r="S242" s="4">
        <v>299.25</v>
      </c>
      <c r="T242" s="4" t="s">
        <v>65</v>
      </c>
      <c r="U242" s="3" t="s">
        <v>137</v>
      </c>
      <c r="V242" s="2" t="s">
        <v>95</v>
      </c>
    </row>
    <row r="243" spans="1:22" x14ac:dyDescent="0.35">
      <c r="A243" s="5" t="s">
        <v>1027</v>
      </c>
      <c r="B243" s="10">
        <v>45375</v>
      </c>
      <c r="C243" s="6" t="s">
        <v>233</v>
      </c>
      <c r="D243" s="6" t="s">
        <v>1028</v>
      </c>
      <c r="E243" s="6" t="s">
        <v>1029</v>
      </c>
      <c r="F243" s="6" t="s">
        <v>1030</v>
      </c>
      <c r="G243" s="6" t="s">
        <v>150</v>
      </c>
      <c r="H243" s="5" t="s">
        <v>93</v>
      </c>
      <c r="I243" s="5" t="s">
        <v>38</v>
      </c>
      <c r="J243" s="5" t="s">
        <v>39</v>
      </c>
      <c r="K243" s="6" t="s">
        <v>40</v>
      </c>
      <c r="L243" s="6" t="s">
        <v>41</v>
      </c>
      <c r="M243" s="6" t="s">
        <v>42</v>
      </c>
      <c r="N243" s="6" t="s">
        <v>43</v>
      </c>
      <c r="O243" s="12">
        <v>8</v>
      </c>
      <c r="P243" s="12">
        <v>25000</v>
      </c>
      <c r="Q243" s="14">
        <v>5</v>
      </c>
      <c r="R243" s="5">
        <v>3</v>
      </c>
      <c r="S243" s="4">
        <v>195700</v>
      </c>
      <c r="T243" s="4" t="s">
        <v>65</v>
      </c>
      <c r="U243" s="3" t="s">
        <v>137</v>
      </c>
      <c r="V243" s="2" t="s">
        <v>138</v>
      </c>
    </row>
    <row r="244" spans="1:22" x14ac:dyDescent="0.35">
      <c r="A244" s="1" t="s">
        <v>1031</v>
      </c>
      <c r="B244" s="10">
        <v>45380</v>
      </c>
      <c r="C244" s="2" t="s">
        <v>177</v>
      </c>
      <c r="D244" s="2" t="s">
        <v>1032</v>
      </c>
      <c r="E244" s="2" t="s">
        <v>179</v>
      </c>
      <c r="F244" s="2" t="s">
        <v>1033</v>
      </c>
      <c r="G244" s="2" t="s">
        <v>92</v>
      </c>
      <c r="H244" s="1" t="s">
        <v>93</v>
      </c>
      <c r="I244" s="1" t="s">
        <v>38</v>
      </c>
      <c r="J244" s="1" t="s">
        <v>300</v>
      </c>
      <c r="K244" s="2" t="s">
        <v>301</v>
      </c>
      <c r="L244" s="2" t="s">
        <v>62</v>
      </c>
      <c r="M244" s="2" t="s">
        <v>302</v>
      </c>
      <c r="N244" s="2" t="s">
        <v>303</v>
      </c>
      <c r="O244" s="12">
        <v>6</v>
      </c>
      <c r="P244" s="12">
        <v>4800</v>
      </c>
      <c r="Q244" s="13">
        <v>20</v>
      </c>
      <c r="R244" s="1">
        <v>18</v>
      </c>
      <c r="S244" s="4">
        <v>27187.199999999997</v>
      </c>
      <c r="T244" s="4" t="s">
        <v>1793</v>
      </c>
      <c r="U244" s="2" t="s">
        <v>137</v>
      </c>
      <c r="V244" s="2" t="s">
        <v>138</v>
      </c>
    </row>
    <row r="245" spans="1:22" x14ac:dyDescent="0.35">
      <c r="A245" s="5" t="s">
        <v>1034</v>
      </c>
      <c r="B245" s="10">
        <v>45293</v>
      </c>
      <c r="C245" s="6" t="s">
        <v>537</v>
      </c>
      <c r="D245" s="6" t="s">
        <v>1035</v>
      </c>
      <c r="E245" s="6" t="s">
        <v>1036</v>
      </c>
      <c r="F245" s="6" t="s">
        <v>1037</v>
      </c>
      <c r="G245" s="6" t="s">
        <v>109</v>
      </c>
      <c r="H245" s="5" t="s">
        <v>48</v>
      </c>
      <c r="I245" s="5" t="s">
        <v>24</v>
      </c>
      <c r="J245" s="5" t="s">
        <v>257</v>
      </c>
      <c r="K245" s="6" t="s">
        <v>258</v>
      </c>
      <c r="L245" s="6" t="s">
        <v>62</v>
      </c>
      <c r="M245" s="6" t="s">
        <v>259</v>
      </c>
      <c r="N245" s="6" t="s">
        <v>260</v>
      </c>
      <c r="O245" s="12">
        <v>7</v>
      </c>
      <c r="P245" s="12">
        <v>3500</v>
      </c>
      <c r="Q245" s="14">
        <v>25</v>
      </c>
      <c r="R245" s="5">
        <v>5</v>
      </c>
      <c r="S245" s="4">
        <v>19293.75</v>
      </c>
      <c r="T245" s="4" t="s">
        <v>294</v>
      </c>
      <c r="U245" s="3" t="s">
        <v>137</v>
      </c>
      <c r="V245" s="2" t="s">
        <v>138</v>
      </c>
    </row>
    <row r="246" spans="1:22" x14ac:dyDescent="0.35">
      <c r="A246" s="1" t="s">
        <v>1038</v>
      </c>
      <c r="B246" s="10">
        <v>45459</v>
      </c>
      <c r="C246" s="2" t="s">
        <v>1786</v>
      </c>
      <c r="D246" s="2" t="s">
        <v>1039</v>
      </c>
      <c r="E246" s="2" t="s">
        <v>818</v>
      </c>
      <c r="F246" s="2" t="s">
        <v>1040</v>
      </c>
      <c r="G246" s="2" t="s">
        <v>315</v>
      </c>
      <c r="H246" s="1" t="s">
        <v>256</v>
      </c>
      <c r="I246" s="1" t="s">
        <v>24</v>
      </c>
      <c r="J246" s="1" t="s">
        <v>266</v>
      </c>
      <c r="K246" s="2" t="s">
        <v>267</v>
      </c>
      <c r="L246" s="2" t="s">
        <v>62</v>
      </c>
      <c r="M246" s="2" t="s">
        <v>63</v>
      </c>
      <c r="N246" s="2" t="s">
        <v>268</v>
      </c>
      <c r="O246" s="12">
        <v>10</v>
      </c>
      <c r="P246" s="12">
        <v>8500</v>
      </c>
      <c r="Q246" s="13">
        <v>0</v>
      </c>
      <c r="R246" s="1">
        <v>18</v>
      </c>
      <c r="S246" s="4">
        <v>100300</v>
      </c>
      <c r="T246" s="4" t="s">
        <v>54</v>
      </c>
      <c r="U246" s="3" t="s">
        <v>137</v>
      </c>
      <c r="V246" s="2" t="s">
        <v>138</v>
      </c>
    </row>
    <row r="247" spans="1:22" x14ac:dyDescent="0.35">
      <c r="A247" s="1" t="s">
        <v>1041</v>
      </c>
      <c r="B247" s="10">
        <v>45383</v>
      </c>
      <c r="C247" s="2" t="s">
        <v>1764</v>
      </c>
      <c r="D247" s="2" t="s">
        <v>1042</v>
      </c>
      <c r="E247" s="2" t="s">
        <v>325</v>
      </c>
      <c r="F247" s="2" t="s">
        <v>1043</v>
      </c>
      <c r="G247" s="2" t="s">
        <v>36</v>
      </c>
      <c r="H247" s="1" t="s">
        <v>37</v>
      </c>
      <c r="I247" s="1" t="s">
        <v>38</v>
      </c>
      <c r="J247" s="1" t="s">
        <v>354</v>
      </c>
      <c r="K247" s="2" t="s">
        <v>355</v>
      </c>
      <c r="L247" s="2" t="s">
        <v>62</v>
      </c>
      <c r="M247" s="2" t="s">
        <v>356</v>
      </c>
      <c r="N247" s="2" t="s">
        <v>357</v>
      </c>
      <c r="O247" s="12">
        <v>5</v>
      </c>
      <c r="P247" s="12">
        <v>4500</v>
      </c>
      <c r="Q247" s="14">
        <v>0</v>
      </c>
      <c r="R247" s="1">
        <v>5</v>
      </c>
      <c r="S247" s="4">
        <v>23625</v>
      </c>
      <c r="T247" s="4" t="s">
        <v>1793</v>
      </c>
      <c r="U247" s="3" t="s">
        <v>137</v>
      </c>
      <c r="V247" s="2" t="s">
        <v>95</v>
      </c>
    </row>
    <row r="248" spans="1:22" x14ac:dyDescent="0.35">
      <c r="A248" s="5" t="s">
        <v>1044</v>
      </c>
      <c r="B248" s="10">
        <v>45328</v>
      </c>
      <c r="C248" s="6" t="s">
        <v>1787</v>
      </c>
      <c r="D248" s="6" t="s">
        <v>1045</v>
      </c>
      <c r="E248" s="6" t="s">
        <v>830</v>
      </c>
      <c r="F248" s="6" t="s">
        <v>1046</v>
      </c>
      <c r="G248" s="6" t="s">
        <v>114</v>
      </c>
      <c r="H248" s="5" t="s">
        <v>115</v>
      </c>
      <c r="I248" s="5" t="s">
        <v>71</v>
      </c>
      <c r="J248" s="5" t="s">
        <v>201</v>
      </c>
      <c r="K248" s="6" t="s">
        <v>202</v>
      </c>
      <c r="L248" s="6" t="s">
        <v>27</v>
      </c>
      <c r="M248" s="6" t="s">
        <v>203</v>
      </c>
      <c r="N248" s="6" t="s">
        <v>204</v>
      </c>
      <c r="O248" s="12">
        <v>2</v>
      </c>
      <c r="P248" s="12">
        <v>280</v>
      </c>
      <c r="Q248" s="13">
        <v>12</v>
      </c>
      <c r="R248" s="5">
        <v>5</v>
      </c>
      <c r="S248" s="4">
        <v>517.44000000000005</v>
      </c>
      <c r="T248" s="4" t="s">
        <v>94</v>
      </c>
      <c r="U248" s="3" t="s">
        <v>116</v>
      </c>
      <c r="V248" s="2" t="s">
        <v>95</v>
      </c>
    </row>
    <row r="249" spans="1:22" x14ac:dyDescent="0.35">
      <c r="A249" s="1" t="s">
        <v>1047</v>
      </c>
      <c r="B249" s="10">
        <v>45371</v>
      </c>
      <c r="C249" s="2" t="s">
        <v>1783</v>
      </c>
      <c r="D249" s="2" t="s">
        <v>1048</v>
      </c>
      <c r="E249" s="2" t="s">
        <v>1049</v>
      </c>
      <c r="F249" s="2" t="s">
        <v>1050</v>
      </c>
      <c r="G249" s="2" t="s">
        <v>109</v>
      </c>
      <c r="H249" s="1" t="s">
        <v>48</v>
      </c>
      <c r="I249" s="1" t="s">
        <v>24</v>
      </c>
      <c r="J249" s="1" t="s">
        <v>215</v>
      </c>
      <c r="K249" s="2" t="s">
        <v>216</v>
      </c>
      <c r="L249" s="2" t="s">
        <v>27</v>
      </c>
      <c r="M249" s="2" t="s">
        <v>127</v>
      </c>
      <c r="N249" s="2" t="s">
        <v>217</v>
      </c>
      <c r="O249" s="12">
        <v>9</v>
      </c>
      <c r="P249" s="12">
        <v>40</v>
      </c>
      <c r="Q249" s="14">
        <v>20</v>
      </c>
      <c r="R249" s="1">
        <v>5</v>
      </c>
      <c r="S249" s="4">
        <v>302.40000000000003</v>
      </c>
      <c r="T249" s="4" t="s">
        <v>1793</v>
      </c>
      <c r="U249" s="3" t="s">
        <v>137</v>
      </c>
      <c r="V249" s="2" t="s">
        <v>95</v>
      </c>
    </row>
    <row r="250" spans="1:22" x14ac:dyDescent="0.35">
      <c r="A250" s="5" t="s">
        <v>1051</v>
      </c>
      <c r="B250" s="10">
        <v>45300</v>
      </c>
      <c r="C250" s="6" t="s">
        <v>32</v>
      </c>
      <c r="D250" s="6" t="s">
        <v>1052</v>
      </c>
      <c r="E250" s="6" t="s">
        <v>131</v>
      </c>
      <c r="F250" s="3" t="s">
        <v>1789</v>
      </c>
      <c r="G250" s="3" t="s">
        <v>349</v>
      </c>
      <c r="H250" s="5" t="s">
        <v>209</v>
      </c>
      <c r="I250" s="5" t="s">
        <v>210</v>
      </c>
      <c r="J250" s="5" t="s">
        <v>184</v>
      </c>
      <c r="K250" s="6" t="s">
        <v>185</v>
      </c>
      <c r="L250" s="6" t="s">
        <v>51</v>
      </c>
      <c r="M250" s="6" t="s">
        <v>186</v>
      </c>
      <c r="N250" s="6" t="s">
        <v>74</v>
      </c>
      <c r="O250" s="12">
        <v>4</v>
      </c>
      <c r="P250" s="12">
        <v>35000</v>
      </c>
      <c r="Q250" s="13">
        <v>5</v>
      </c>
      <c r="R250" s="5">
        <v>18</v>
      </c>
      <c r="S250" s="4">
        <v>156940</v>
      </c>
      <c r="T250" s="4" t="s">
        <v>1793</v>
      </c>
      <c r="U250" s="6" t="s">
        <v>30</v>
      </c>
      <c r="V250" s="2" t="s">
        <v>138</v>
      </c>
    </row>
    <row r="251" spans="1:22" x14ac:dyDescent="0.35">
      <c r="A251" s="1" t="s">
        <v>1053</v>
      </c>
      <c r="B251" s="10">
        <v>45437</v>
      </c>
      <c r="C251" s="2" t="s">
        <v>1776</v>
      </c>
      <c r="D251" s="2" t="s">
        <v>1054</v>
      </c>
      <c r="E251" s="2" t="s">
        <v>804</v>
      </c>
      <c r="F251" s="2" t="s">
        <v>1055</v>
      </c>
      <c r="G251" s="2" t="s">
        <v>237</v>
      </c>
      <c r="H251" s="1" t="s">
        <v>23</v>
      </c>
      <c r="I251" s="1" t="s">
        <v>24</v>
      </c>
      <c r="J251" s="1" t="s">
        <v>342</v>
      </c>
      <c r="K251" s="2" t="s">
        <v>343</v>
      </c>
      <c r="L251" s="2" t="s">
        <v>84</v>
      </c>
      <c r="M251" s="2" t="s">
        <v>244</v>
      </c>
      <c r="N251" s="2" t="s">
        <v>344</v>
      </c>
      <c r="O251" s="12">
        <v>1</v>
      </c>
      <c r="P251" s="12">
        <v>2200</v>
      </c>
      <c r="Q251" s="14">
        <v>15</v>
      </c>
      <c r="R251" s="1">
        <v>12</v>
      </c>
      <c r="S251" s="4">
        <v>2094.4</v>
      </c>
      <c r="T251" s="4" t="s">
        <v>294</v>
      </c>
      <c r="U251" s="2" t="s">
        <v>30</v>
      </c>
      <c r="V251" s="2" t="s">
        <v>138</v>
      </c>
    </row>
    <row r="252" spans="1:22" x14ac:dyDescent="0.35">
      <c r="A252" s="5" t="s">
        <v>1056</v>
      </c>
      <c r="B252" s="10">
        <v>45396</v>
      </c>
      <c r="C252" s="6" t="s">
        <v>197</v>
      </c>
      <c r="D252" s="6" t="s">
        <v>1057</v>
      </c>
      <c r="E252" s="6" t="s">
        <v>371</v>
      </c>
      <c r="F252" s="6" t="s">
        <v>1058</v>
      </c>
      <c r="G252" s="6" t="s">
        <v>114</v>
      </c>
      <c r="H252" s="5" t="s">
        <v>115</v>
      </c>
      <c r="I252" s="5" t="s">
        <v>71</v>
      </c>
      <c r="J252" s="5" t="s">
        <v>39</v>
      </c>
      <c r="K252" s="6" t="s">
        <v>40</v>
      </c>
      <c r="L252" s="6" t="s">
        <v>41</v>
      </c>
      <c r="M252" s="6" t="s">
        <v>42</v>
      </c>
      <c r="N252" s="6" t="s">
        <v>43</v>
      </c>
      <c r="O252" s="12">
        <v>9</v>
      </c>
      <c r="P252" s="12">
        <v>25000</v>
      </c>
      <c r="Q252" s="13">
        <v>5</v>
      </c>
      <c r="R252" s="5">
        <v>3</v>
      </c>
      <c r="S252" s="4">
        <v>220162.5</v>
      </c>
      <c r="T252" s="4" t="s">
        <v>294</v>
      </c>
      <c r="U252" s="3" t="s">
        <v>87</v>
      </c>
      <c r="V252" s="2" t="s">
        <v>95</v>
      </c>
    </row>
    <row r="253" spans="1:22" x14ac:dyDescent="0.35">
      <c r="A253" s="1" t="s">
        <v>1059</v>
      </c>
      <c r="B253" s="10">
        <v>45337</v>
      </c>
      <c r="C253" s="2" t="s">
        <v>1768</v>
      </c>
      <c r="D253" s="2" t="s">
        <v>1060</v>
      </c>
      <c r="E253" s="2" t="s">
        <v>224</v>
      </c>
      <c r="F253" s="2" t="s">
        <v>1061</v>
      </c>
      <c r="G253" s="2" t="s">
        <v>80</v>
      </c>
      <c r="H253" s="1" t="s">
        <v>81</v>
      </c>
      <c r="I253" s="1" t="s">
        <v>24</v>
      </c>
      <c r="J253" s="1" t="s">
        <v>82</v>
      </c>
      <c r="K253" s="2" t="s">
        <v>83</v>
      </c>
      <c r="L253" s="2" t="s">
        <v>84</v>
      </c>
      <c r="M253" s="2" t="s">
        <v>85</v>
      </c>
      <c r="N253" s="2" t="s">
        <v>86</v>
      </c>
      <c r="O253" s="12">
        <v>8</v>
      </c>
      <c r="P253" s="12">
        <v>12000</v>
      </c>
      <c r="Q253" s="14">
        <v>20</v>
      </c>
      <c r="R253" s="1">
        <v>18</v>
      </c>
      <c r="S253" s="4">
        <v>90624</v>
      </c>
      <c r="T253" s="4" t="s">
        <v>94</v>
      </c>
      <c r="U253" s="3" t="s">
        <v>137</v>
      </c>
      <c r="V253" s="2" t="s">
        <v>95</v>
      </c>
    </row>
    <row r="254" spans="1:22" x14ac:dyDescent="0.35">
      <c r="A254" s="5" t="s">
        <v>1062</v>
      </c>
      <c r="B254" s="10">
        <v>45456</v>
      </c>
      <c r="C254" s="6" t="s">
        <v>330</v>
      </c>
      <c r="D254" s="6" t="s">
        <v>1063</v>
      </c>
      <c r="E254" s="6" t="s">
        <v>481</v>
      </c>
      <c r="F254" s="6" t="s">
        <v>1064</v>
      </c>
      <c r="G254" s="6" t="s">
        <v>109</v>
      </c>
      <c r="H254" s="5" t="s">
        <v>48</v>
      </c>
      <c r="I254" s="5" t="s">
        <v>24</v>
      </c>
      <c r="J254" s="5" t="s">
        <v>266</v>
      </c>
      <c r="K254" s="6" t="s">
        <v>267</v>
      </c>
      <c r="L254" s="6" t="s">
        <v>62</v>
      </c>
      <c r="M254" s="6" t="s">
        <v>63</v>
      </c>
      <c r="N254" s="6" t="s">
        <v>268</v>
      </c>
      <c r="O254" s="12">
        <v>3</v>
      </c>
      <c r="P254" s="12">
        <v>8500</v>
      </c>
      <c r="Q254" s="13">
        <v>20</v>
      </c>
      <c r="R254" s="5">
        <v>18</v>
      </c>
      <c r="S254" s="4">
        <v>24072</v>
      </c>
      <c r="T254" s="4" t="s">
        <v>1794</v>
      </c>
      <c r="U254" s="3" t="s">
        <v>116</v>
      </c>
      <c r="V254" s="2" t="s">
        <v>138</v>
      </c>
    </row>
    <row r="255" spans="1:22" x14ac:dyDescent="0.35">
      <c r="A255" s="5" t="s">
        <v>1065</v>
      </c>
      <c r="B255" s="10">
        <v>45311</v>
      </c>
      <c r="C255" s="6" t="s">
        <v>177</v>
      </c>
      <c r="D255" s="6" t="s">
        <v>1066</v>
      </c>
      <c r="E255" s="6" t="s">
        <v>1067</v>
      </c>
      <c r="F255" s="6" t="s">
        <v>1068</v>
      </c>
      <c r="G255" s="6" t="s">
        <v>315</v>
      </c>
      <c r="H255" s="5" t="s">
        <v>256</v>
      </c>
      <c r="I255" s="5" t="s">
        <v>24</v>
      </c>
      <c r="J255" s="5" t="s">
        <v>342</v>
      </c>
      <c r="K255" s="6" t="s">
        <v>343</v>
      </c>
      <c r="L255" s="6" t="s">
        <v>84</v>
      </c>
      <c r="M255" s="6" t="s">
        <v>244</v>
      </c>
      <c r="N255" s="6" t="s">
        <v>344</v>
      </c>
      <c r="O255" s="12">
        <v>1</v>
      </c>
      <c r="P255" s="12">
        <v>2200</v>
      </c>
      <c r="Q255" s="14">
        <v>8</v>
      </c>
      <c r="R255" s="5">
        <v>12</v>
      </c>
      <c r="S255" s="4">
        <v>2266.88</v>
      </c>
      <c r="T255" s="4" t="s">
        <v>294</v>
      </c>
      <c r="U255" s="3" t="s">
        <v>116</v>
      </c>
      <c r="V255" s="2" t="s">
        <v>138</v>
      </c>
    </row>
    <row r="256" spans="1:22" x14ac:dyDescent="0.35">
      <c r="A256" s="5" t="s">
        <v>1069</v>
      </c>
      <c r="B256" s="10">
        <v>45326</v>
      </c>
      <c r="C256" s="6" t="s">
        <v>959</v>
      </c>
      <c r="D256" s="6" t="s">
        <v>1070</v>
      </c>
      <c r="E256" s="6" t="s">
        <v>961</v>
      </c>
      <c r="F256" s="6" t="s">
        <v>1071</v>
      </c>
      <c r="G256" s="6" t="s">
        <v>315</v>
      </c>
      <c r="H256" s="5" t="s">
        <v>256</v>
      </c>
      <c r="I256" s="5" t="s">
        <v>24</v>
      </c>
      <c r="J256" s="5" t="s">
        <v>82</v>
      </c>
      <c r="K256" s="6" t="s">
        <v>83</v>
      </c>
      <c r="L256" s="6" t="s">
        <v>84</v>
      </c>
      <c r="M256" s="6" t="s">
        <v>85</v>
      </c>
      <c r="N256" s="6" t="s">
        <v>86</v>
      </c>
      <c r="O256" s="12">
        <v>2</v>
      </c>
      <c r="P256" s="12">
        <v>12000</v>
      </c>
      <c r="Q256" s="13">
        <v>0</v>
      </c>
      <c r="R256" s="5">
        <v>18</v>
      </c>
      <c r="S256" s="4">
        <v>28320</v>
      </c>
      <c r="T256" s="4" t="s">
        <v>65</v>
      </c>
      <c r="U256" s="3" t="s">
        <v>137</v>
      </c>
      <c r="V256" s="2" t="s">
        <v>138</v>
      </c>
    </row>
    <row r="257" spans="1:22" x14ac:dyDescent="0.35">
      <c r="A257" s="1" t="s">
        <v>1072</v>
      </c>
      <c r="B257" s="10">
        <v>45452</v>
      </c>
      <c r="C257" s="2" t="s">
        <v>1780</v>
      </c>
      <c r="D257" s="2" t="s">
        <v>1073</v>
      </c>
      <c r="E257" s="2" t="s">
        <v>623</v>
      </c>
      <c r="F257" s="2" t="s">
        <v>1074</v>
      </c>
      <c r="G257" s="2" t="s">
        <v>315</v>
      </c>
      <c r="H257" s="1" t="s">
        <v>256</v>
      </c>
      <c r="I257" s="1" t="s">
        <v>24</v>
      </c>
      <c r="J257" s="1" t="s">
        <v>434</v>
      </c>
      <c r="K257" s="2" t="s">
        <v>435</v>
      </c>
      <c r="L257" s="2" t="s">
        <v>62</v>
      </c>
      <c r="M257" s="2" t="s">
        <v>160</v>
      </c>
      <c r="N257" s="2" t="s">
        <v>436</v>
      </c>
      <c r="O257" s="12">
        <v>10</v>
      </c>
      <c r="P257" s="12">
        <v>1200</v>
      </c>
      <c r="Q257" s="14">
        <v>15</v>
      </c>
      <c r="R257" s="1">
        <v>5</v>
      </c>
      <c r="S257" s="4">
        <v>10710</v>
      </c>
      <c r="T257" s="4" t="s">
        <v>1793</v>
      </c>
      <c r="U257" s="3" t="s">
        <v>137</v>
      </c>
      <c r="V257" s="2" t="s">
        <v>95</v>
      </c>
    </row>
    <row r="258" spans="1:22" x14ac:dyDescent="0.35">
      <c r="A258" s="1" t="s">
        <v>1075</v>
      </c>
      <c r="B258" s="10">
        <v>45373</v>
      </c>
      <c r="C258" s="2" t="s">
        <v>1787</v>
      </c>
      <c r="D258" s="2" t="s">
        <v>1076</v>
      </c>
      <c r="E258" s="2" t="s">
        <v>830</v>
      </c>
      <c r="F258" s="2" t="s">
        <v>1077</v>
      </c>
      <c r="G258" s="2" t="s">
        <v>550</v>
      </c>
      <c r="H258" s="1" t="s">
        <v>37</v>
      </c>
      <c r="I258" s="1" t="s">
        <v>38</v>
      </c>
      <c r="J258" s="1" t="s">
        <v>201</v>
      </c>
      <c r="K258" s="2" t="s">
        <v>202</v>
      </c>
      <c r="L258" s="2" t="s">
        <v>27</v>
      </c>
      <c r="M258" s="2" t="s">
        <v>203</v>
      </c>
      <c r="N258" s="2" t="s">
        <v>204</v>
      </c>
      <c r="O258" s="12">
        <v>1</v>
      </c>
      <c r="P258" s="12">
        <v>280</v>
      </c>
      <c r="Q258" s="13">
        <v>20</v>
      </c>
      <c r="R258" s="1">
        <v>5</v>
      </c>
      <c r="S258" s="4">
        <v>235.20000000000002</v>
      </c>
      <c r="T258" s="4" t="s">
        <v>65</v>
      </c>
      <c r="U258" s="3" t="s">
        <v>116</v>
      </c>
      <c r="V258" s="2" t="s">
        <v>95</v>
      </c>
    </row>
    <row r="259" spans="1:22" x14ac:dyDescent="0.35">
      <c r="A259" s="5" t="s">
        <v>1078</v>
      </c>
      <c r="B259" s="10">
        <v>45440</v>
      </c>
      <c r="C259" s="6" t="s">
        <v>1785</v>
      </c>
      <c r="D259" s="6" t="s">
        <v>1079</v>
      </c>
      <c r="E259" s="6" t="s">
        <v>911</v>
      </c>
      <c r="F259" s="6" t="s">
        <v>1080</v>
      </c>
      <c r="G259" s="6" t="s">
        <v>166</v>
      </c>
      <c r="H259" s="5" t="s">
        <v>167</v>
      </c>
      <c r="I259" s="5" t="s">
        <v>71</v>
      </c>
      <c r="J259" s="5" t="s">
        <v>39</v>
      </c>
      <c r="K259" s="6" t="s">
        <v>40</v>
      </c>
      <c r="L259" s="6" t="s">
        <v>41</v>
      </c>
      <c r="M259" s="6" t="s">
        <v>42</v>
      </c>
      <c r="N259" s="6" t="s">
        <v>43</v>
      </c>
      <c r="O259" s="12">
        <v>4</v>
      </c>
      <c r="P259" s="12">
        <v>25000</v>
      </c>
      <c r="Q259" s="14">
        <v>10</v>
      </c>
      <c r="R259" s="5">
        <v>3</v>
      </c>
      <c r="S259" s="4">
        <v>92700</v>
      </c>
      <c r="T259" s="4" t="s">
        <v>294</v>
      </c>
      <c r="U259" s="6" t="s">
        <v>30</v>
      </c>
      <c r="V259" s="2" t="s">
        <v>138</v>
      </c>
    </row>
    <row r="260" spans="1:22" x14ac:dyDescent="0.35">
      <c r="A260" s="1" t="s">
        <v>1081</v>
      </c>
      <c r="B260" s="10">
        <v>45346</v>
      </c>
      <c r="C260" s="2" t="s">
        <v>1767</v>
      </c>
      <c r="D260" s="2" t="s">
        <v>1082</v>
      </c>
      <c r="E260" s="2" t="s">
        <v>560</v>
      </c>
      <c r="F260" s="2" t="s">
        <v>1083</v>
      </c>
      <c r="G260" s="2" t="s">
        <v>92</v>
      </c>
      <c r="H260" s="1" t="s">
        <v>93</v>
      </c>
      <c r="I260" s="1" t="s">
        <v>38</v>
      </c>
      <c r="J260" s="1" t="s">
        <v>354</v>
      </c>
      <c r="K260" s="2" t="s">
        <v>355</v>
      </c>
      <c r="L260" s="2" t="s">
        <v>62</v>
      </c>
      <c r="M260" s="2" t="s">
        <v>356</v>
      </c>
      <c r="N260" s="2" t="s">
        <v>357</v>
      </c>
      <c r="O260" s="12">
        <v>9</v>
      </c>
      <c r="P260" s="12">
        <v>4500</v>
      </c>
      <c r="Q260" s="13">
        <v>8</v>
      </c>
      <c r="R260" s="1">
        <v>5</v>
      </c>
      <c r="S260" s="4">
        <v>39123</v>
      </c>
      <c r="T260" s="4" t="s">
        <v>65</v>
      </c>
      <c r="U260" s="3" t="s">
        <v>116</v>
      </c>
      <c r="V260" s="2" t="s">
        <v>95</v>
      </c>
    </row>
    <row r="261" spans="1:22" x14ac:dyDescent="0.35">
      <c r="A261" s="5" t="s">
        <v>1084</v>
      </c>
      <c r="B261" s="10">
        <v>45395</v>
      </c>
      <c r="C261" s="6" t="s">
        <v>1767</v>
      </c>
      <c r="D261" s="6" t="s">
        <v>1085</v>
      </c>
      <c r="E261" s="6" t="s">
        <v>477</v>
      </c>
      <c r="F261" s="3" t="s">
        <v>1789</v>
      </c>
      <c r="G261" s="3" t="s">
        <v>109</v>
      </c>
      <c r="H261" s="5" t="s">
        <v>48</v>
      </c>
      <c r="I261" s="5" t="s">
        <v>24</v>
      </c>
      <c r="J261" s="5" t="s">
        <v>143</v>
      </c>
      <c r="K261" s="6" t="s">
        <v>144</v>
      </c>
      <c r="L261" s="6" t="s">
        <v>51</v>
      </c>
      <c r="M261" s="6" t="s">
        <v>52</v>
      </c>
      <c r="N261" s="6" t="s">
        <v>145</v>
      </c>
      <c r="O261" s="12">
        <v>5</v>
      </c>
      <c r="P261" s="12">
        <v>89000</v>
      </c>
      <c r="Q261" s="14">
        <v>10</v>
      </c>
      <c r="R261" s="5">
        <v>18</v>
      </c>
      <c r="S261" s="4">
        <v>472590</v>
      </c>
      <c r="T261" s="4" t="s">
        <v>65</v>
      </c>
      <c r="U261" s="6" t="s">
        <v>195</v>
      </c>
      <c r="V261" s="2" t="s">
        <v>95</v>
      </c>
    </row>
    <row r="262" spans="1:22" x14ac:dyDescent="0.35">
      <c r="A262" s="1" t="s">
        <v>1086</v>
      </c>
      <c r="B262" s="10">
        <v>45308</v>
      </c>
      <c r="C262" s="2" t="s">
        <v>1776</v>
      </c>
      <c r="D262" s="2" t="s">
        <v>1087</v>
      </c>
      <c r="E262" s="2" t="s">
        <v>220</v>
      </c>
      <c r="F262" s="2" t="s">
        <v>1088</v>
      </c>
      <c r="G262" s="2" t="s">
        <v>237</v>
      </c>
      <c r="H262" s="1" t="s">
        <v>23</v>
      </c>
      <c r="I262" s="1" t="s">
        <v>24</v>
      </c>
      <c r="J262" s="1" t="s">
        <v>242</v>
      </c>
      <c r="K262" s="2" t="s">
        <v>243</v>
      </c>
      <c r="L262" s="2" t="s">
        <v>84</v>
      </c>
      <c r="M262" s="2" t="s">
        <v>244</v>
      </c>
      <c r="N262" s="2" t="s">
        <v>245</v>
      </c>
      <c r="O262" s="12">
        <v>1</v>
      </c>
      <c r="P262" s="12">
        <v>3200</v>
      </c>
      <c r="Q262" s="13">
        <v>0</v>
      </c>
      <c r="R262" s="1">
        <v>18</v>
      </c>
      <c r="S262" s="4">
        <v>3776</v>
      </c>
      <c r="T262" s="4" t="s">
        <v>94</v>
      </c>
      <c r="U262" s="3" t="s">
        <v>137</v>
      </c>
      <c r="V262" s="2" t="s">
        <v>138</v>
      </c>
    </row>
    <row r="263" spans="1:22" x14ac:dyDescent="0.35">
      <c r="A263" s="5" t="s">
        <v>1089</v>
      </c>
      <c r="B263" s="10">
        <v>45328</v>
      </c>
      <c r="C263" s="6" t="s">
        <v>105</v>
      </c>
      <c r="D263" s="6" t="s">
        <v>1090</v>
      </c>
      <c r="E263" s="6" t="s">
        <v>506</v>
      </c>
      <c r="F263" s="6" t="s">
        <v>1091</v>
      </c>
      <c r="G263" s="6" t="s">
        <v>550</v>
      </c>
      <c r="H263" s="5" t="s">
        <v>37</v>
      </c>
      <c r="I263" s="5" t="s">
        <v>38</v>
      </c>
      <c r="J263" s="5" t="s">
        <v>100</v>
      </c>
      <c r="K263" s="6" t="s">
        <v>101</v>
      </c>
      <c r="L263" s="6" t="s">
        <v>51</v>
      </c>
      <c r="M263" s="6" t="s">
        <v>102</v>
      </c>
      <c r="N263" s="6" t="s">
        <v>103</v>
      </c>
      <c r="O263" s="12">
        <v>9</v>
      </c>
      <c r="P263" s="12">
        <v>2800</v>
      </c>
      <c r="Q263" s="14">
        <v>15</v>
      </c>
      <c r="R263" s="5">
        <v>18</v>
      </c>
      <c r="S263" s="4">
        <v>25275.599999999999</v>
      </c>
      <c r="T263" s="4" t="s">
        <v>294</v>
      </c>
      <c r="U263" s="3" t="s">
        <v>137</v>
      </c>
      <c r="V263" s="2" t="s">
        <v>95</v>
      </c>
    </row>
    <row r="264" spans="1:22" x14ac:dyDescent="0.35">
      <c r="A264" s="1" t="s">
        <v>1092</v>
      </c>
      <c r="B264" s="10">
        <v>45356</v>
      </c>
      <c r="C264" s="2" t="s">
        <v>1787</v>
      </c>
      <c r="D264" s="2" t="s">
        <v>1093</v>
      </c>
      <c r="E264" s="2" t="s">
        <v>830</v>
      </c>
      <c r="F264" s="2" t="s">
        <v>1094</v>
      </c>
      <c r="G264" s="2" t="s">
        <v>150</v>
      </c>
      <c r="H264" s="1" t="s">
        <v>93</v>
      </c>
      <c r="I264" s="1" t="s">
        <v>38</v>
      </c>
      <c r="J264" s="1" t="s">
        <v>172</v>
      </c>
      <c r="K264" s="2" t="s">
        <v>173</v>
      </c>
      <c r="L264" s="2" t="s">
        <v>84</v>
      </c>
      <c r="M264" s="2" t="s">
        <v>174</v>
      </c>
      <c r="N264" s="2" t="s">
        <v>175</v>
      </c>
      <c r="O264" s="12">
        <v>5</v>
      </c>
      <c r="P264" s="12">
        <v>299</v>
      </c>
      <c r="Q264" s="13">
        <v>80</v>
      </c>
      <c r="R264" s="1">
        <v>18</v>
      </c>
      <c r="S264" s="4">
        <v>352.81999999999994</v>
      </c>
      <c r="T264" s="4" t="s">
        <v>1793</v>
      </c>
      <c r="U264" s="3" t="s">
        <v>30</v>
      </c>
      <c r="V264" s="2" t="s">
        <v>95</v>
      </c>
    </row>
    <row r="265" spans="1:22" x14ac:dyDescent="0.35">
      <c r="A265" s="5" t="s">
        <v>1095</v>
      </c>
      <c r="B265" s="10">
        <v>45417</v>
      </c>
      <c r="C265" s="6" t="s">
        <v>262</v>
      </c>
      <c r="D265" s="6" t="s">
        <v>1096</v>
      </c>
      <c r="E265" s="6" t="s">
        <v>264</v>
      </c>
      <c r="F265" s="6" t="s">
        <v>1097</v>
      </c>
      <c r="G265" s="6" t="s">
        <v>237</v>
      </c>
      <c r="H265" s="5" t="s">
        <v>23</v>
      </c>
      <c r="I265" s="5" t="s">
        <v>24</v>
      </c>
      <c r="J265" s="5" t="s">
        <v>266</v>
      </c>
      <c r="K265" s="6" t="s">
        <v>267</v>
      </c>
      <c r="L265" s="6" t="s">
        <v>62</v>
      </c>
      <c r="M265" s="6" t="s">
        <v>63</v>
      </c>
      <c r="N265" s="6" t="s">
        <v>268</v>
      </c>
      <c r="O265" s="12">
        <v>4</v>
      </c>
      <c r="P265" s="12">
        <v>8500</v>
      </c>
      <c r="Q265" s="14">
        <v>15</v>
      </c>
      <c r="R265" s="5">
        <v>18</v>
      </c>
      <c r="S265" s="4">
        <v>34102</v>
      </c>
      <c r="T265" s="4" t="s">
        <v>1793</v>
      </c>
      <c r="U265" s="6" t="s">
        <v>195</v>
      </c>
      <c r="V265" s="2" t="s">
        <v>138</v>
      </c>
    </row>
    <row r="266" spans="1:22" x14ac:dyDescent="0.35">
      <c r="A266" s="1" t="s">
        <v>1098</v>
      </c>
      <c r="B266" s="10">
        <v>45439</v>
      </c>
      <c r="C266" s="2" t="s">
        <v>1774</v>
      </c>
      <c r="D266" s="2" t="s">
        <v>1099</v>
      </c>
      <c r="E266" s="2" t="s">
        <v>619</v>
      </c>
      <c r="F266" s="2" t="s">
        <v>1100</v>
      </c>
      <c r="G266" s="2" t="s">
        <v>349</v>
      </c>
      <c r="H266" s="1" t="s">
        <v>209</v>
      </c>
      <c r="I266" s="1" t="s">
        <v>210</v>
      </c>
      <c r="J266" s="1" t="s">
        <v>215</v>
      </c>
      <c r="K266" s="2" t="s">
        <v>216</v>
      </c>
      <c r="L266" s="2" t="s">
        <v>27</v>
      </c>
      <c r="M266" s="2" t="s">
        <v>127</v>
      </c>
      <c r="N266" s="2" t="s">
        <v>217</v>
      </c>
      <c r="O266" s="12">
        <v>6</v>
      </c>
      <c r="P266" s="12">
        <v>40</v>
      </c>
      <c r="Q266" s="13">
        <v>25</v>
      </c>
      <c r="R266" s="1">
        <v>5</v>
      </c>
      <c r="S266" s="4">
        <v>189</v>
      </c>
      <c r="T266" s="4" t="s">
        <v>54</v>
      </c>
      <c r="U266" s="2" t="s">
        <v>195</v>
      </c>
      <c r="V266" s="2" t="s">
        <v>95</v>
      </c>
    </row>
    <row r="267" spans="1:22" x14ac:dyDescent="0.35">
      <c r="A267" s="5" t="s">
        <v>1101</v>
      </c>
      <c r="B267" s="10">
        <v>45297</v>
      </c>
      <c r="C267" s="6" t="s">
        <v>105</v>
      </c>
      <c r="D267" s="6" t="s">
        <v>1102</v>
      </c>
      <c r="E267" s="6" t="s">
        <v>768</v>
      </c>
      <c r="F267" s="6" t="s">
        <v>1103</v>
      </c>
      <c r="G267" s="6" t="s">
        <v>349</v>
      </c>
      <c r="H267" s="5" t="s">
        <v>209</v>
      </c>
      <c r="I267" s="5" t="s">
        <v>210</v>
      </c>
      <c r="J267" s="5" t="s">
        <v>669</v>
      </c>
      <c r="K267" s="6" t="s">
        <v>670</v>
      </c>
      <c r="L267" s="6" t="s">
        <v>84</v>
      </c>
      <c r="M267" s="6" t="s">
        <v>85</v>
      </c>
      <c r="N267" s="6" t="s">
        <v>671</v>
      </c>
      <c r="O267" s="12">
        <v>10</v>
      </c>
      <c r="P267" s="12">
        <v>38000</v>
      </c>
      <c r="Q267" s="14">
        <v>8</v>
      </c>
      <c r="R267" s="5">
        <v>18</v>
      </c>
      <c r="S267" s="4">
        <v>412528</v>
      </c>
      <c r="T267" s="4" t="s">
        <v>294</v>
      </c>
      <c r="U267" s="6" t="s">
        <v>30</v>
      </c>
      <c r="V267" s="2" t="s">
        <v>95</v>
      </c>
    </row>
    <row r="268" spans="1:22" x14ac:dyDescent="0.35">
      <c r="A268" s="1" t="s">
        <v>1104</v>
      </c>
      <c r="B268" s="10">
        <v>45389</v>
      </c>
      <c r="C268" s="2" t="s">
        <v>1787</v>
      </c>
      <c r="D268" s="2" t="s">
        <v>1105</v>
      </c>
      <c r="E268" s="2" t="s">
        <v>706</v>
      </c>
      <c r="F268" s="2" t="s">
        <v>1106</v>
      </c>
      <c r="G268" s="2" t="s">
        <v>230</v>
      </c>
      <c r="H268" s="1" t="s">
        <v>231</v>
      </c>
      <c r="I268" s="1" t="s">
        <v>24</v>
      </c>
      <c r="J268" s="1" t="s">
        <v>72</v>
      </c>
      <c r="K268" s="2" t="s">
        <v>73</v>
      </c>
      <c r="L268" s="2" t="s">
        <v>51</v>
      </c>
      <c r="M268" s="2" t="s">
        <v>52</v>
      </c>
      <c r="N268" s="2" t="s">
        <v>74</v>
      </c>
      <c r="O268" s="12">
        <v>1</v>
      </c>
      <c r="P268" s="12">
        <v>14000</v>
      </c>
      <c r="Q268" s="13">
        <v>25</v>
      </c>
      <c r="R268" s="1">
        <v>18</v>
      </c>
      <c r="S268" s="4">
        <v>12390</v>
      </c>
      <c r="T268" s="4" t="s">
        <v>1794</v>
      </c>
      <c r="U268" s="2" t="s">
        <v>195</v>
      </c>
      <c r="V268" s="2" t="s">
        <v>95</v>
      </c>
    </row>
    <row r="269" spans="1:22" x14ac:dyDescent="0.35">
      <c r="A269" s="5" t="s">
        <v>1107</v>
      </c>
      <c r="B269" s="10">
        <v>45310</v>
      </c>
      <c r="C269" s="6" t="s">
        <v>197</v>
      </c>
      <c r="D269" s="6" t="s">
        <v>1108</v>
      </c>
      <c r="E269" s="6" t="s">
        <v>488</v>
      </c>
      <c r="F269" s="6" t="s">
        <v>1109</v>
      </c>
      <c r="G269" s="6" t="s">
        <v>109</v>
      </c>
      <c r="H269" s="5" t="s">
        <v>48</v>
      </c>
      <c r="I269" s="5" t="s">
        <v>24</v>
      </c>
      <c r="J269" s="5" t="s">
        <v>276</v>
      </c>
      <c r="K269" s="6" t="s">
        <v>277</v>
      </c>
      <c r="L269" s="6" t="s">
        <v>51</v>
      </c>
      <c r="M269" s="6" t="s">
        <v>102</v>
      </c>
      <c r="N269" s="6" t="s">
        <v>278</v>
      </c>
      <c r="O269" s="12">
        <v>10</v>
      </c>
      <c r="P269" s="12">
        <v>0</v>
      </c>
      <c r="Q269" s="14">
        <v>15</v>
      </c>
      <c r="R269" s="5">
        <v>18</v>
      </c>
      <c r="S269" s="4">
        <v>0</v>
      </c>
      <c r="T269" s="4" t="s">
        <v>294</v>
      </c>
      <c r="U269" s="3" t="s">
        <v>137</v>
      </c>
      <c r="V269" s="2" t="s">
        <v>138</v>
      </c>
    </row>
    <row r="270" spans="1:22" x14ac:dyDescent="0.35">
      <c r="A270" s="5" t="s">
        <v>1110</v>
      </c>
      <c r="B270" s="10">
        <v>45314</v>
      </c>
      <c r="C270" s="6" t="s">
        <v>1763</v>
      </c>
      <c r="D270" s="6" t="s">
        <v>1111</v>
      </c>
      <c r="E270" s="6" t="s">
        <v>240</v>
      </c>
      <c r="F270" s="6" t="s">
        <v>1112</v>
      </c>
      <c r="G270" s="6" t="s">
        <v>349</v>
      </c>
      <c r="H270" s="5" t="s">
        <v>209</v>
      </c>
      <c r="I270" s="5" t="s">
        <v>210</v>
      </c>
      <c r="J270" s="5" t="s">
        <v>72</v>
      </c>
      <c r="K270" s="6" t="s">
        <v>73</v>
      </c>
      <c r="L270" s="6" t="s">
        <v>51</v>
      </c>
      <c r="M270" s="6" t="s">
        <v>52</v>
      </c>
      <c r="N270" s="6" t="s">
        <v>74</v>
      </c>
      <c r="O270" s="12">
        <v>7</v>
      </c>
      <c r="P270" s="12">
        <v>14000</v>
      </c>
      <c r="Q270" s="13">
        <v>0</v>
      </c>
      <c r="R270" s="5">
        <v>18</v>
      </c>
      <c r="S270" s="4">
        <v>115640</v>
      </c>
      <c r="T270" s="4" t="s">
        <v>1793</v>
      </c>
      <c r="U270" s="3" t="s">
        <v>137</v>
      </c>
      <c r="V270" s="2" t="s">
        <v>95</v>
      </c>
    </row>
    <row r="271" spans="1:22" x14ac:dyDescent="0.35">
      <c r="A271" s="1" t="s">
        <v>1113</v>
      </c>
      <c r="B271" s="10">
        <v>45305</v>
      </c>
      <c r="C271" s="2" t="s">
        <v>105</v>
      </c>
      <c r="D271" s="2" t="s">
        <v>1114</v>
      </c>
      <c r="E271" s="2" t="s">
        <v>1115</v>
      </c>
      <c r="F271" s="2" t="s">
        <v>1116</v>
      </c>
      <c r="G271" s="2" t="s">
        <v>150</v>
      </c>
      <c r="H271" s="1" t="s">
        <v>93</v>
      </c>
      <c r="I271" s="1" t="s">
        <v>38</v>
      </c>
      <c r="J271" s="1" t="s">
        <v>133</v>
      </c>
      <c r="K271" s="2" t="s">
        <v>134</v>
      </c>
      <c r="L271" s="2" t="s">
        <v>51</v>
      </c>
      <c r="M271" s="2" t="s">
        <v>135</v>
      </c>
      <c r="N271" s="2" t="s">
        <v>136</v>
      </c>
      <c r="O271" s="12">
        <v>10</v>
      </c>
      <c r="P271" s="12">
        <v>55000</v>
      </c>
      <c r="Q271" s="14">
        <v>8</v>
      </c>
      <c r="R271" s="1">
        <v>18</v>
      </c>
      <c r="S271" s="4">
        <v>597080</v>
      </c>
      <c r="T271" s="4" t="s">
        <v>65</v>
      </c>
      <c r="U271" s="3" t="s">
        <v>87</v>
      </c>
      <c r="V271" s="2" t="s">
        <v>95</v>
      </c>
    </row>
    <row r="272" spans="1:22" x14ac:dyDescent="0.35">
      <c r="A272" s="5" t="s">
        <v>1117</v>
      </c>
      <c r="B272" s="10">
        <v>45441</v>
      </c>
      <c r="C272" s="6" t="s">
        <v>1769</v>
      </c>
      <c r="D272" s="6" t="s">
        <v>1118</v>
      </c>
      <c r="E272" s="6" t="s">
        <v>285</v>
      </c>
      <c r="F272" s="6" t="s">
        <v>1119</v>
      </c>
      <c r="G272" s="6" t="s">
        <v>109</v>
      </c>
      <c r="H272" s="5" t="s">
        <v>48</v>
      </c>
      <c r="I272" s="5" t="s">
        <v>24</v>
      </c>
      <c r="J272" s="5" t="s">
        <v>434</v>
      </c>
      <c r="K272" s="6" t="s">
        <v>435</v>
      </c>
      <c r="L272" s="6" t="s">
        <v>62</v>
      </c>
      <c r="M272" s="6" t="s">
        <v>160</v>
      </c>
      <c r="N272" s="6" t="s">
        <v>436</v>
      </c>
      <c r="O272" s="12">
        <v>8</v>
      </c>
      <c r="P272" s="12">
        <v>1200</v>
      </c>
      <c r="Q272" s="13">
        <v>10</v>
      </c>
      <c r="R272" s="5">
        <v>5</v>
      </c>
      <c r="S272" s="4">
        <v>9072</v>
      </c>
      <c r="T272" s="4" t="s">
        <v>94</v>
      </c>
      <c r="U272" s="6" t="s">
        <v>195</v>
      </c>
      <c r="V272" s="2" t="s">
        <v>95</v>
      </c>
    </row>
    <row r="273" spans="1:22" x14ac:dyDescent="0.35">
      <c r="A273" s="1" t="s">
        <v>1120</v>
      </c>
      <c r="B273" s="10">
        <v>45459</v>
      </c>
      <c r="C273" s="2" t="s">
        <v>1768</v>
      </c>
      <c r="D273" s="2" t="s">
        <v>1121</v>
      </c>
      <c r="E273" s="2" t="s">
        <v>1122</v>
      </c>
      <c r="F273" s="2" t="s">
        <v>1123</v>
      </c>
      <c r="G273" s="2" t="s">
        <v>109</v>
      </c>
      <c r="H273" s="1" t="s">
        <v>48</v>
      </c>
      <c r="I273" s="1" t="s">
        <v>24</v>
      </c>
      <c r="J273" s="1" t="s">
        <v>184</v>
      </c>
      <c r="K273" s="2" t="s">
        <v>185</v>
      </c>
      <c r="L273" s="2" t="s">
        <v>51</v>
      </c>
      <c r="M273" s="2" t="s">
        <v>186</v>
      </c>
      <c r="N273" s="2" t="s">
        <v>74</v>
      </c>
      <c r="O273" s="12">
        <v>2</v>
      </c>
      <c r="P273" s="12">
        <v>35000</v>
      </c>
      <c r="Q273" s="14">
        <v>25</v>
      </c>
      <c r="R273" s="1">
        <v>18</v>
      </c>
      <c r="S273" s="4">
        <v>61950</v>
      </c>
      <c r="T273" s="4" t="s">
        <v>1793</v>
      </c>
      <c r="U273" s="3" t="s">
        <v>137</v>
      </c>
      <c r="V273" s="2" t="s">
        <v>95</v>
      </c>
    </row>
    <row r="274" spans="1:22" x14ac:dyDescent="0.35">
      <c r="A274" s="5" t="s">
        <v>1124</v>
      </c>
      <c r="B274" s="10">
        <v>45368</v>
      </c>
      <c r="C274" s="6" t="s">
        <v>233</v>
      </c>
      <c r="D274" s="6" t="s">
        <v>1125</v>
      </c>
      <c r="E274" s="6" t="s">
        <v>418</v>
      </c>
      <c r="F274" s="6" t="s">
        <v>1126</v>
      </c>
      <c r="G274" s="6" t="s">
        <v>166</v>
      </c>
      <c r="H274" s="5" t="s">
        <v>167</v>
      </c>
      <c r="I274" s="5" t="s">
        <v>71</v>
      </c>
      <c r="J274" s="5" t="s">
        <v>100</v>
      </c>
      <c r="K274" s="6" t="s">
        <v>101</v>
      </c>
      <c r="L274" s="6" t="s">
        <v>51</v>
      </c>
      <c r="M274" s="6" t="s">
        <v>102</v>
      </c>
      <c r="N274" s="6" t="s">
        <v>103</v>
      </c>
      <c r="O274" s="12">
        <v>3</v>
      </c>
      <c r="P274" s="12">
        <v>2800</v>
      </c>
      <c r="Q274" s="13">
        <v>10</v>
      </c>
      <c r="R274" s="5">
        <v>18</v>
      </c>
      <c r="S274" s="4">
        <v>8920.7999999999993</v>
      </c>
      <c r="T274" s="4" t="s">
        <v>54</v>
      </c>
      <c r="U274" s="6" t="s">
        <v>116</v>
      </c>
      <c r="V274" s="2" t="s">
        <v>138</v>
      </c>
    </row>
    <row r="275" spans="1:22" x14ac:dyDescent="0.35">
      <c r="A275" s="1" t="s">
        <v>1127</v>
      </c>
      <c r="B275" s="10">
        <v>45418</v>
      </c>
      <c r="C275" s="2" t="s">
        <v>1774</v>
      </c>
      <c r="D275" s="2" t="s">
        <v>1128</v>
      </c>
      <c r="E275" s="2" t="s">
        <v>170</v>
      </c>
      <c r="F275" s="2" t="s">
        <v>1129</v>
      </c>
      <c r="G275" s="2" t="s">
        <v>80</v>
      </c>
      <c r="H275" s="1" t="s">
        <v>81</v>
      </c>
      <c r="I275" s="1" t="s">
        <v>24</v>
      </c>
      <c r="J275" s="1" t="s">
        <v>434</v>
      </c>
      <c r="K275" s="2" t="s">
        <v>435</v>
      </c>
      <c r="L275" s="2" t="s">
        <v>62</v>
      </c>
      <c r="M275" s="2" t="s">
        <v>160</v>
      </c>
      <c r="N275" s="2" t="s">
        <v>436</v>
      </c>
      <c r="O275" s="12">
        <v>2</v>
      </c>
      <c r="P275" s="12">
        <v>1200</v>
      </c>
      <c r="Q275" s="14">
        <v>20</v>
      </c>
      <c r="R275" s="1">
        <v>5</v>
      </c>
      <c r="S275" s="4">
        <v>2016</v>
      </c>
      <c r="T275" s="4" t="s">
        <v>54</v>
      </c>
      <c r="U275" s="2" t="s">
        <v>30</v>
      </c>
      <c r="V275" s="2" t="s">
        <v>95</v>
      </c>
    </row>
    <row r="276" spans="1:22" x14ac:dyDescent="0.35">
      <c r="A276" s="5" t="s">
        <v>1130</v>
      </c>
      <c r="B276" s="10">
        <v>45420</v>
      </c>
      <c r="C276" s="6" t="s">
        <v>76</v>
      </c>
      <c r="D276" s="6" t="s">
        <v>1131</v>
      </c>
      <c r="E276" s="6" t="s">
        <v>667</v>
      </c>
      <c r="F276" s="6" t="s">
        <v>1132</v>
      </c>
      <c r="G276" s="6" t="s">
        <v>315</v>
      </c>
      <c r="H276" s="5" t="s">
        <v>256</v>
      </c>
      <c r="I276" s="5" t="s">
        <v>24</v>
      </c>
      <c r="J276" s="5" t="s">
        <v>257</v>
      </c>
      <c r="K276" s="6" t="s">
        <v>258</v>
      </c>
      <c r="L276" s="6" t="s">
        <v>62</v>
      </c>
      <c r="M276" s="6" t="s">
        <v>259</v>
      </c>
      <c r="N276" s="6" t="s">
        <v>260</v>
      </c>
      <c r="O276" s="12">
        <v>2</v>
      </c>
      <c r="P276" s="12">
        <v>3500</v>
      </c>
      <c r="Q276" s="13">
        <v>25</v>
      </c>
      <c r="R276" s="5">
        <v>5</v>
      </c>
      <c r="S276" s="4">
        <v>5512.5</v>
      </c>
      <c r="T276" s="4" t="s">
        <v>1794</v>
      </c>
      <c r="U276" s="3" t="s">
        <v>116</v>
      </c>
      <c r="V276" s="2" t="s">
        <v>138</v>
      </c>
    </row>
    <row r="277" spans="1:22" x14ac:dyDescent="0.35">
      <c r="A277" s="1" t="s">
        <v>1133</v>
      </c>
      <c r="B277" s="10">
        <v>45428</v>
      </c>
      <c r="C277" s="2" t="s">
        <v>1771</v>
      </c>
      <c r="D277" s="2" t="s">
        <v>1134</v>
      </c>
      <c r="E277" s="2" t="s">
        <v>298</v>
      </c>
      <c r="F277" s="3" t="s">
        <v>1789</v>
      </c>
      <c r="G277" s="3" t="s">
        <v>70</v>
      </c>
      <c r="H277" s="1" t="s">
        <v>70</v>
      </c>
      <c r="I277" s="1" t="s">
        <v>71</v>
      </c>
      <c r="J277" s="1" t="s">
        <v>172</v>
      </c>
      <c r="K277" s="2" t="s">
        <v>173</v>
      </c>
      <c r="L277" s="2" t="s">
        <v>84</v>
      </c>
      <c r="M277" s="2" t="s">
        <v>174</v>
      </c>
      <c r="N277" s="2" t="s">
        <v>175</v>
      </c>
      <c r="O277" s="12">
        <v>10</v>
      </c>
      <c r="P277" s="12">
        <v>299</v>
      </c>
      <c r="Q277" s="14">
        <v>10</v>
      </c>
      <c r="R277" s="1">
        <v>18</v>
      </c>
      <c r="S277" s="4">
        <v>3175.3799999999997</v>
      </c>
      <c r="T277" s="4" t="s">
        <v>54</v>
      </c>
      <c r="U277" s="2" t="s">
        <v>87</v>
      </c>
      <c r="V277" s="2" t="s">
        <v>138</v>
      </c>
    </row>
    <row r="278" spans="1:22" x14ac:dyDescent="0.35">
      <c r="A278" s="5" t="s">
        <v>1135</v>
      </c>
      <c r="B278" s="10">
        <v>45345</v>
      </c>
      <c r="C278" s="6" t="s">
        <v>525</v>
      </c>
      <c r="D278" s="6" t="s">
        <v>1136</v>
      </c>
      <c r="E278" s="6" t="s">
        <v>866</v>
      </c>
      <c r="F278" s="6" t="s">
        <v>1137</v>
      </c>
      <c r="G278" s="6" t="s">
        <v>237</v>
      </c>
      <c r="H278" s="5" t="s">
        <v>23</v>
      </c>
      <c r="I278" s="5" t="s">
        <v>24</v>
      </c>
      <c r="J278" s="5" t="s">
        <v>300</v>
      </c>
      <c r="K278" s="6" t="s">
        <v>301</v>
      </c>
      <c r="L278" s="6" t="s">
        <v>62</v>
      </c>
      <c r="M278" s="6" t="s">
        <v>302</v>
      </c>
      <c r="N278" s="6" t="s">
        <v>303</v>
      </c>
      <c r="O278" s="12">
        <v>10</v>
      </c>
      <c r="P278" s="12">
        <v>4800</v>
      </c>
      <c r="Q278" s="13">
        <v>12</v>
      </c>
      <c r="R278" s="5">
        <v>18</v>
      </c>
      <c r="S278" s="4">
        <v>49843.199999999997</v>
      </c>
      <c r="T278" s="4" t="s">
        <v>1793</v>
      </c>
      <c r="U278" s="6" t="s">
        <v>30</v>
      </c>
      <c r="V278" s="2" t="s">
        <v>95</v>
      </c>
    </row>
    <row r="279" spans="1:22" x14ac:dyDescent="0.35">
      <c r="A279" s="1" t="s">
        <v>1138</v>
      </c>
      <c r="B279" s="10">
        <v>45294</v>
      </c>
      <c r="C279" s="2" t="s">
        <v>1763</v>
      </c>
      <c r="D279" s="2" t="s">
        <v>1139</v>
      </c>
      <c r="E279" s="2" t="s">
        <v>240</v>
      </c>
      <c r="F279" s="2" t="s">
        <v>1140</v>
      </c>
      <c r="G279" s="2" t="s">
        <v>92</v>
      </c>
      <c r="H279" s="1" t="s">
        <v>93</v>
      </c>
      <c r="I279" s="1" t="s">
        <v>38</v>
      </c>
      <c r="J279" s="1" t="s">
        <v>39</v>
      </c>
      <c r="K279" s="2" t="s">
        <v>40</v>
      </c>
      <c r="L279" s="2" t="s">
        <v>41</v>
      </c>
      <c r="M279" s="2" t="s">
        <v>42</v>
      </c>
      <c r="N279" s="2" t="s">
        <v>43</v>
      </c>
      <c r="O279" s="12">
        <v>3</v>
      </c>
      <c r="P279" s="12">
        <v>25000</v>
      </c>
      <c r="Q279" s="14">
        <v>25</v>
      </c>
      <c r="R279" s="1">
        <v>3</v>
      </c>
      <c r="S279" s="4">
        <v>57937.5</v>
      </c>
      <c r="T279" s="4" t="s">
        <v>294</v>
      </c>
      <c r="U279" s="2" t="s">
        <v>137</v>
      </c>
      <c r="V279" s="2" t="s">
        <v>95</v>
      </c>
    </row>
    <row r="280" spans="1:22" x14ac:dyDescent="0.35">
      <c r="A280" s="5" t="s">
        <v>1141</v>
      </c>
      <c r="B280" s="10">
        <v>45406</v>
      </c>
      <c r="C280" s="6" t="s">
        <v>458</v>
      </c>
      <c r="D280" s="6" t="s">
        <v>1142</v>
      </c>
      <c r="E280" s="6" t="s">
        <v>325</v>
      </c>
      <c r="F280" s="6" t="s">
        <v>1143</v>
      </c>
      <c r="G280" s="6" t="s">
        <v>349</v>
      </c>
      <c r="H280" s="5" t="s">
        <v>209</v>
      </c>
      <c r="I280" s="5" t="s">
        <v>210</v>
      </c>
      <c r="J280" s="5" t="s">
        <v>257</v>
      </c>
      <c r="K280" s="6" t="s">
        <v>258</v>
      </c>
      <c r="L280" s="6" t="s">
        <v>62</v>
      </c>
      <c r="M280" s="6" t="s">
        <v>259</v>
      </c>
      <c r="N280" s="6" t="s">
        <v>260</v>
      </c>
      <c r="O280" s="12">
        <v>8</v>
      </c>
      <c r="P280" s="12">
        <v>0</v>
      </c>
      <c r="Q280" s="13">
        <v>5</v>
      </c>
      <c r="R280" s="5">
        <v>5</v>
      </c>
      <c r="S280" s="4">
        <v>0</v>
      </c>
      <c r="T280" s="4" t="s">
        <v>94</v>
      </c>
      <c r="U280" s="3" t="s">
        <v>137</v>
      </c>
      <c r="V280" s="2" t="s">
        <v>95</v>
      </c>
    </row>
    <row r="281" spans="1:22" x14ac:dyDescent="0.35">
      <c r="A281" s="1" t="s">
        <v>1144</v>
      </c>
      <c r="B281" s="10">
        <v>45468</v>
      </c>
      <c r="C281" s="2" t="s">
        <v>1765</v>
      </c>
      <c r="D281" s="2" t="s">
        <v>1145</v>
      </c>
      <c r="E281" s="2" t="s">
        <v>652</v>
      </c>
      <c r="F281" s="2" t="s">
        <v>1146</v>
      </c>
      <c r="G281" s="2" t="s">
        <v>70</v>
      </c>
      <c r="H281" s="1" t="s">
        <v>70</v>
      </c>
      <c r="I281" s="1" t="s">
        <v>71</v>
      </c>
      <c r="J281" s="1" t="s">
        <v>300</v>
      </c>
      <c r="K281" s="2" t="s">
        <v>301</v>
      </c>
      <c r="L281" s="2" t="s">
        <v>62</v>
      </c>
      <c r="M281" s="2" t="s">
        <v>302</v>
      </c>
      <c r="N281" s="2" t="s">
        <v>303</v>
      </c>
      <c r="O281" s="12">
        <v>3</v>
      </c>
      <c r="P281" s="12">
        <v>4800</v>
      </c>
      <c r="Q281" s="14">
        <v>15</v>
      </c>
      <c r="R281" s="1">
        <v>18</v>
      </c>
      <c r="S281" s="4">
        <v>14443.199999999999</v>
      </c>
      <c r="T281" s="4" t="s">
        <v>294</v>
      </c>
      <c r="U281" s="2" t="s">
        <v>30</v>
      </c>
      <c r="V281" s="2" t="s">
        <v>138</v>
      </c>
    </row>
    <row r="282" spans="1:22" x14ac:dyDescent="0.35">
      <c r="A282" s="5" t="s">
        <v>1147</v>
      </c>
      <c r="B282" s="10">
        <v>45349</v>
      </c>
      <c r="C282" s="6" t="s">
        <v>1774</v>
      </c>
      <c r="D282" s="6" t="s">
        <v>1788</v>
      </c>
      <c r="E282" s="6" t="s">
        <v>281</v>
      </c>
      <c r="F282" s="6" t="s">
        <v>1148</v>
      </c>
      <c r="G282" s="6" t="s">
        <v>109</v>
      </c>
      <c r="H282" s="5" t="s">
        <v>48</v>
      </c>
      <c r="I282" s="5" t="s">
        <v>24</v>
      </c>
      <c r="J282" s="5" t="s">
        <v>434</v>
      </c>
      <c r="K282" s="6" t="s">
        <v>435</v>
      </c>
      <c r="L282" s="6" t="s">
        <v>62</v>
      </c>
      <c r="M282" s="6" t="s">
        <v>160</v>
      </c>
      <c r="N282" s="6" t="s">
        <v>436</v>
      </c>
      <c r="O282" s="12">
        <v>5</v>
      </c>
      <c r="P282" s="12">
        <v>1200</v>
      </c>
      <c r="Q282" s="13">
        <v>0</v>
      </c>
      <c r="R282" s="5">
        <v>5</v>
      </c>
      <c r="S282" s="4">
        <v>6300</v>
      </c>
      <c r="T282" s="4" t="s">
        <v>294</v>
      </c>
      <c r="U282" s="6" t="s">
        <v>87</v>
      </c>
      <c r="V282" s="2" t="s">
        <v>138</v>
      </c>
    </row>
    <row r="283" spans="1:22" x14ac:dyDescent="0.35">
      <c r="A283" s="1" t="s">
        <v>1149</v>
      </c>
      <c r="B283" s="10">
        <v>45384</v>
      </c>
      <c r="C283" s="2" t="s">
        <v>1780</v>
      </c>
      <c r="D283" s="2" t="s">
        <v>1150</v>
      </c>
      <c r="E283" s="2" t="s">
        <v>623</v>
      </c>
      <c r="F283" s="2" t="s">
        <v>1151</v>
      </c>
      <c r="G283" s="2" t="s">
        <v>36</v>
      </c>
      <c r="H283" s="1" t="s">
        <v>37</v>
      </c>
      <c r="I283" s="1" t="s">
        <v>38</v>
      </c>
      <c r="J283" s="1" t="s">
        <v>172</v>
      </c>
      <c r="K283" s="2" t="s">
        <v>173</v>
      </c>
      <c r="L283" s="2" t="s">
        <v>84</v>
      </c>
      <c r="M283" s="2" t="s">
        <v>174</v>
      </c>
      <c r="N283" s="2" t="s">
        <v>175</v>
      </c>
      <c r="O283" s="12">
        <v>8</v>
      </c>
      <c r="P283" s="12">
        <v>299</v>
      </c>
      <c r="Q283" s="14">
        <v>5</v>
      </c>
      <c r="R283" s="1">
        <v>18</v>
      </c>
      <c r="S283" s="4">
        <v>2681.4319999999998</v>
      </c>
      <c r="T283" s="4" t="s">
        <v>54</v>
      </c>
      <c r="U283" s="2" t="s">
        <v>87</v>
      </c>
      <c r="V283" s="2" t="s">
        <v>95</v>
      </c>
    </row>
    <row r="284" spans="1:22" x14ac:dyDescent="0.35">
      <c r="A284" s="5" t="s">
        <v>1152</v>
      </c>
      <c r="B284" s="10">
        <v>45330</v>
      </c>
      <c r="C284" s="6" t="s">
        <v>1774</v>
      </c>
      <c r="D284" s="6" t="s">
        <v>1153</v>
      </c>
      <c r="E284" s="6" t="s">
        <v>619</v>
      </c>
      <c r="F284" s="6" t="s">
        <v>1154</v>
      </c>
      <c r="G284" s="6" t="s">
        <v>315</v>
      </c>
      <c r="H284" s="5" t="s">
        <v>256</v>
      </c>
      <c r="I284" s="5" t="s">
        <v>24</v>
      </c>
      <c r="J284" s="5" t="s">
        <v>669</v>
      </c>
      <c r="K284" s="6" t="s">
        <v>670</v>
      </c>
      <c r="L284" s="6" t="s">
        <v>84</v>
      </c>
      <c r="M284" s="6" t="s">
        <v>85</v>
      </c>
      <c r="N284" s="6" t="s">
        <v>671</v>
      </c>
      <c r="O284" s="12">
        <v>1</v>
      </c>
      <c r="P284" s="12">
        <v>38000</v>
      </c>
      <c r="Q284" s="13">
        <v>5</v>
      </c>
      <c r="R284" s="5">
        <v>18</v>
      </c>
      <c r="S284" s="4">
        <v>42598</v>
      </c>
      <c r="T284" s="4" t="s">
        <v>54</v>
      </c>
      <c r="U284" s="3" t="s">
        <v>30</v>
      </c>
      <c r="V284" s="2" t="s">
        <v>95</v>
      </c>
    </row>
    <row r="285" spans="1:22" x14ac:dyDescent="0.35">
      <c r="A285" s="1" t="s">
        <v>1155</v>
      </c>
      <c r="B285" s="10">
        <v>45453</v>
      </c>
      <c r="C285" s="2" t="s">
        <v>1769</v>
      </c>
      <c r="D285" s="2" t="s">
        <v>1156</v>
      </c>
      <c r="E285" s="2" t="s">
        <v>285</v>
      </c>
      <c r="F285" s="2" t="s">
        <v>1157</v>
      </c>
      <c r="G285" s="2" t="s">
        <v>70</v>
      </c>
      <c r="H285" s="1" t="s">
        <v>70</v>
      </c>
      <c r="I285" s="1" t="s">
        <v>71</v>
      </c>
      <c r="J285" s="1" t="s">
        <v>125</v>
      </c>
      <c r="K285" s="2" t="s">
        <v>126</v>
      </c>
      <c r="L285" s="2" t="s">
        <v>27</v>
      </c>
      <c r="M285" s="2" t="s">
        <v>127</v>
      </c>
      <c r="N285" s="2" t="s">
        <v>128</v>
      </c>
      <c r="O285" s="12">
        <v>9</v>
      </c>
      <c r="P285" s="12">
        <v>50</v>
      </c>
      <c r="Q285" s="14">
        <v>8</v>
      </c>
      <c r="R285" s="1">
        <v>5</v>
      </c>
      <c r="S285" s="4">
        <v>434.70000000000005</v>
      </c>
      <c r="T285" s="4" t="s">
        <v>54</v>
      </c>
      <c r="U285" s="2" t="s">
        <v>116</v>
      </c>
      <c r="V285" s="2" t="s">
        <v>95</v>
      </c>
    </row>
    <row r="286" spans="1:22" x14ac:dyDescent="0.35">
      <c r="A286" s="5" t="s">
        <v>1158</v>
      </c>
      <c r="B286" s="10">
        <v>45324</v>
      </c>
      <c r="C286" s="6" t="s">
        <v>1779</v>
      </c>
      <c r="D286" s="6" t="s">
        <v>1159</v>
      </c>
      <c r="E286" s="6" t="s">
        <v>310</v>
      </c>
      <c r="F286" s="6" t="s">
        <v>1160</v>
      </c>
      <c r="G286" s="6" t="s">
        <v>237</v>
      </c>
      <c r="H286" s="5" t="s">
        <v>23</v>
      </c>
      <c r="I286" s="5" t="s">
        <v>24</v>
      </c>
      <c r="J286" s="5" t="s">
        <v>215</v>
      </c>
      <c r="K286" s="6" t="s">
        <v>216</v>
      </c>
      <c r="L286" s="6" t="s">
        <v>27</v>
      </c>
      <c r="M286" s="6" t="s">
        <v>127</v>
      </c>
      <c r="N286" s="6" t="s">
        <v>217</v>
      </c>
      <c r="O286" s="12">
        <v>9</v>
      </c>
      <c r="P286" s="12">
        <v>40</v>
      </c>
      <c r="Q286" s="13">
        <v>20</v>
      </c>
      <c r="R286" s="5">
        <v>5</v>
      </c>
      <c r="S286" s="4">
        <v>302.40000000000003</v>
      </c>
      <c r="T286" s="4" t="s">
        <v>94</v>
      </c>
      <c r="U286" s="3" t="s">
        <v>137</v>
      </c>
      <c r="V286" s="2" t="s">
        <v>138</v>
      </c>
    </row>
    <row r="287" spans="1:22" x14ac:dyDescent="0.35">
      <c r="A287" s="1" t="s">
        <v>1161</v>
      </c>
      <c r="B287" s="10">
        <v>45444</v>
      </c>
      <c r="C287" s="2" t="s">
        <v>1783</v>
      </c>
      <c r="D287" s="2" t="s">
        <v>1162</v>
      </c>
      <c r="E287" s="2" t="s">
        <v>393</v>
      </c>
      <c r="F287" s="2" t="s">
        <v>1163</v>
      </c>
      <c r="G287" s="2" t="s">
        <v>237</v>
      </c>
      <c r="H287" s="1" t="s">
        <v>23</v>
      </c>
      <c r="I287" s="1" t="s">
        <v>71</v>
      </c>
      <c r="J287" s="1" t="s">
        <v>25</v>
      </c>
      <c r="K287" s="2" t="s">
        <v>26</v>
      </c>
      <c r="L287" s="2" t="s">
        <v>27</v>
      </c>
      <c r="M287" s="2" t="s">
        <v>28</v>
      </c>
      <c r="N287" s="2" t="s">
        <v>29</v>
      </c>
      <c r="O287" s="12">
        <v>1</v>
      </c>
      <c r="P287" s="12">
        <v>450</v>
      </c>
      <c r="Q287" s="14">
        <v>5</v>
      </c>
      <c r="R287" s="1">
        <v>5</v>
      </c>
      <c r="S287" s="4">
        <v>448.875</v>
      </c>
      <c r="T287" s="4" t="s">
        <v>294</v>
      </c>
      <c r="U287" s="3" t="s">
        <v>116</v>
      </c>
      <c r="V287" s="2" t="s">
        <v>138</v>
      </c>
    </row>
    <row r="288" spans="1:22" x14ac:dyDescent="0.35">
      <c r="A288" s="5" t="s">
        <v>1164</v>
      </c>
      <c r="B288" s="10">
        <v>45395</v>
      </c>
      <c r="C288" s="6" t="s">
        <v>105</v>
      </c>
      <c r="D288" s="6" t="s">
        <v>1165</v>
      </c>
      <c r="E288" s="6" t="s">
        <v>1166</v>
      </c>
      <c r="F288" s="6" t="s">
        <v>1167</v>
      </c>
      <c r="G288" s="6" t="s">
        <v>230</v>
      </c>
      <c r="H288" s="5" t="s">
        <v>231</v>
      </c>
      <c r="I288" s="5" t="s">
        <v>24</v>
      </c>
      <c r="J288" s="5" t="s">
        <v>25</v>
      </c>
      <c r="K288" s="6" t="s">
        <v>26</v>
      </c>
      <c r="L288" s="6" t="s">
        <v>27</v>
      </c>
      <c r="M288" s="6" t="s">
        <v>28</v>
      </c>
      <c r="N288" s="6" t="s">
        <v>29</v>
      </c>
      <c r="O288" s="12">
        <v>8</v>
      </c>
      <c r="P288" s="12">
        <v>450</v>
      </c>
      <c r="Q288" s="13">
        <v>0</v>
      </c>
      <c r="R288" s="5">
        <v>5</v>
      </c>
      <c r="S288" s="4">
        <v>3780</v>
      </c>
      <c r="T288" s="4" t="s">
        <v>94</v>
      </c>
      <c r="U288" s="3" t="s">
        <v>137</v>
      </c>
      <c r="V288" s="2" t="s">
        <v>138</v>
      </c>
    </row>
    <row r="289" spans="1:22" x14ac:dyDescent="0.35">
      <c r="A289" s="1" t="s">
        <v>1168</v>
      </c>
      <c r="B289" s="10">
        <v>45322</v>
      </c>
      <c r="C289" s="2" t="s">
        <v>1768</v>
      </c>
      <c r="D289" s="2" t="s">
        <v>1169</v>
      </c>
      <c r="E289" s="2" t="s">
        <v>98</v>
      </c>
      <c r="F289" s="2" t="s">
        <v>1170</v>
      </c>
      <c r="G289" s="2" t="s">
        <v>109</v>
      </c>
      <c r="H289" s="1" t="s">
        <v>48</v>
      </c>
      <c r="I289" s="1" t="s">
        <v>24</v>
      </c>
      <c r="J289" s="1" t="s">
        <v>276</v>
      </c>
      <c r="K289" s="2" t="s">
        <v>277</v>
      </c>
      <c r="L289" s="2" t="s">
        <v>51</v>
      </c>
      <c r="M289" s="2" t="s">
        <v>102</v>
      </c>
      <c r="N289" s="2" t="s">
        <v>278</v>
      </c>
      <c r="O289" s="12">
        <v>9</v>
      </c>
      <c r="P289" s="12">
        <v>1500</v>
      </c>
      <c r="Q289" s="14">
        <v>8</v>
      </c>
      <c r="R289" s="1">
        <v>18</v>
      </c>
      <c r="S289" s="4">
        <v>14655.599999999999</v>
      </c>
      <c r="T289" s="4" t="s">
        <v>294</v>
      </c>
      <c r="U289" s="3" t="s">
        <v>137</v>
      </c>
      <c r="V289" s="2" t="s">
        <v>138</v>
      </c>
    </row>
    <row r="290" spans="1:22" x14ac:dyDescent="0.35">
      <c r="A290" s="5" t="s">
        <v>1171</v>
      </c>
      <c r="B290" s="10">
        <v>45436</v>
      </c>
      <c r="C290" s="6" t="s">
        <v>1781</v>
      </c>
      <c r="D290" s="6" t="s">
        <v>1172</v>
      </c>
      <c r="E290" s="6" t="s">
        <v>1173</v>
      </c>
      <c r="F290" s="6" t="s">
        <v>1174</v>
      </c>
      <c r="G290" s="6" t="s">
        <v>114</v>
      </c>
      <c r="H290" s="5" t="s">
        <v>115</v>
      </c>
      <c r="I290" s="5" t="s">
        <v>71</v>
      </c>
      <c r="J290" s="5" t="s">
        <v>184</v>
      </c>
      <c r="K290" s="6" t="s">
        <v>185</v>
      </c>
      <c r="L290" s="6" t="s">
        <v>51</v>
      </c>
      <c r="M290" s="6" t="s">
        <v>186</v>
      </c>
      <c r="N290" s="6" t="s">
        <v>74</v>
      </c>
      <c r="O290" s="12">
        <v>5</v>
      </c>
      <c r="P290" s="12">
        <v>35000</v>
      </c>
      <c r="Q290" s="13">
        <v>5</v>
      </c>
      <c r="R290" s="5">
        <v>18</v>
      </c>
      <c r="S290" s="4">
        <v>196175</v>
      </c>
      <c r="T290" s="4" t="s">
        <v>65</v>
      </c>
      <c r="U290" s="3" t="s">
        <v>116</v>
      </c>
      <c r="V290" s="2" t="s">
        <v>138</v>
      </c>
    </row>
    <row r="291" spans="1:22" x14ac:dyDescent="0.35">
      <c r="A291" s="1" t="s">
        <v>1175</v>
      </c>
      <c r="B291" s="10">
        <v>45334</v>
      </c>
      <c r="C291" s="2" t="s">
        <v>105</v>
      </c>
      <c r="D291" s="2" t="s">
        <v>1176</v>
      </c>
      <c r="E291" s="2" t="s">
        <v>506</v>
      </c>
      <c r="F291" s="2" t="s">
        <v>1177</v>
      </c>
      <c r="G291" s="2" t="s">
        <v>315</v>
      </c>
      <c r="H291" s="1" t="s">
        <v>256</v>
      </c>
      <c r="I291" s="1" t="s">
        <v>24</v>
      </c>
      <c r="J291" s="1" t="s">
        <v>49</v>
      </c>
      <c r="K291" s="2" t="s">
        <v>50</v>
      </c>
      <c r="L291" s="2" t="s">
        <v>51</v>
      </c>
      <c r="M291" s="2" t="s">
        <v>52</v>
      </c>
      <c r="N291" s="2" t="s">
        <v>53</v>
      </c>
      <c r="O291" s="12">
        <v>2</v>
      </c>
      <c r="P291" s="12">
        <v>28000</v>
      </c>
      <c r="Q291" s="14">
        <v>20</v>
      </c>
      <c r="R291" s="1">
        <v>18</v>
      </c>
      <c r="S291" s="4">
        <v>52864</v>
      </c>
      <c r="T291" s="4" t="s">
        <v>65</v>
      </c>
      <c r="U291" s="2" t="s">
        <v>195</v>
      </c>
      <c r="V291" s="2" t="s">
        <v>138</v>
      </c>
    </row>
    <row r="292" spans="1:22" x14ac:dyDescent="0.35">
      <c r="A292" s="5" t="s">
        <v>1178</v>
      </c>
      <c r="B292" s="10">
        <v>45428</v>
      </c>
      <c r="C292" s="6" t="s">
        <v>330</v>
      </c>
      <c r="D292" s="6" t="s">
        <v>1179</v>
      </c>
      <c r="E292" s="6" t="s">
        <v>982</v>
      </c>
      <c r="F292" s="6" t="s">
        <v>1180</v>
      </c>
      <c r="G292" s="6" t="s">
        <v>92</v>
      </c>
      <c r="H292" s="5" t="s">
        <v>93</v>
      </c>
      <c r="I292" s="5" t="s">
        <v>38</v>
      </c>
      <c r="J292" s="5" t="s">
        <v>82</v>
      </c>
      <c r="K292" s="6" t="s">
        <v>83</v>
      </c>
      <c r="L292" s="6" t="s">
        <v>84</v>
      </c>
      <c r="M292" s="6" t="s">
        <v>85</v>
      </c>
      <c r="N292" s="6" t="s">
        <v>86</v>
      </c>
      <c r="O292" s="12">
        <v>1</v>
      </c>
      <c r="P292" s="12">
        <v>12000</v>
      </c>
      <c r="Q292" s="13">
        <v>0</v>
      </c>
      <c r="R292" s="5">
        <v>18</v>
      </c>
      <c r="S292" s="4">
        <v>14160</v>
      </c>
      <c r="T292" s="4" t="s">
        <v>294</v>
      </c>
      <c r="U292" s="3" t="s">
        <v>137</v>
      </c>
      <c r="V292" s="2" t="s">
        <v>138</v>
      </c>
    </row>
    <row r="293" spans="1:22" x14ac:dyDescent="0.35">
      <c r="A293" s="1" t="s">
        <v>1181</v>
      </c>
      <c r="B293" s="10">
        <v>45368</v>
      </c>
      <c r="C293" s="2" t="s">
        <v>1767</v>
      </c>
      <c r="D293" s="2" t="s">
        <v>1182</v>
      </c>
      <c r="E293" s="2" t="s">
        <v>477</v>
      </c>
      <c r="F293" s="2" t="s">
        <v>1183</v>
      </c>
      <c r="G293" s="2" t="s">
        <v>349</v>
      </c>
      <c r="H293" s="1" t="s">
        <v>209</v>
      </c>
      <c r="I293" s="1" t="s">
        <v>210</v>
      </c>
      <c r="J293" s="1" t="s">
        <v>215</v>
      </c>
      <c r="K293" s="2" t="s">
        <v>216</v>
      </c>
      <c r="L293" s="2" t="s">
        <v>27</v>
      </c>
      <c r="M293" s="2" t="s">
        <v>127</v>
      </c>
      <c r="N293" s="2" t="s">
        <v>217</v>
      </c>
      <c r="O293" s="12">
        <v>3</v>
      </c>
      <c r="P293" s="12">
        <v>40</v>
      </c>
      <c r="Q293" s="14">
        <v>20</v>
      </c>
      <c r="R293" s="1">
        <v>5</v>
      </c>
      <c r="S293" s="4">
        <v>100.80000000000001</v>
      </c>
      <c r="T293" s="4" t="s">
        <v>65</v>
      </c>
      <c r="U293" s="2" t="s">
        <v>137</v>
      </c>
      <c r="V293" s="2" t="s">
        <v>95</v>
      </c>
    </row>
    <row r="294" spans="1:22" x14ac:dyDescent="0.35">
      <c r="A294" s="5" t="s">
        <v>1184</v>
      </c>
      <c r="B294" s="10">
        <v>45355</v>
      </c>
      <c r="C294" s="6" t="s">
        <v>1764</v>
      </c>
      <c r="D294" s="6" t="s">
        <v>1185</v>
      </c>
      <c r="E294" s="6" t="s">
        <v>425</v>
      </c>
      <c r="F294" s="6" t="s">
        <v>1186</v>
      </c>
      <c r="G294" s="6" t="s">
        <v>150</v>
      </c>
      <c r="H294" s="5" t="s">
        <v>93</v>
      </c>
      <c r="I294" s="5" t="s">
        <v>38</v>
      </c>
      <c r="J294" s="5" t="s">
        <v>39</v>
      </c>
      <c r="K294" s="6" t="s">
        <v>40</v>
      </c>
      <c r="L294" s="6" t="s">
        <v>41</v>
      </c>
      <c r="M294" s="6" t="s">
        <v>42</v>
      </c>
      <c r="N294" s="6" t="s">
        <v>43</v>
      </c>
      <c r="O294" s="12">
        <v>2</v>
      </c>
      <c r="P294" s="12">
        <v>25000</v>
      </c>
      <c r="Q294" s="13">
        <v>0</v>
      </c>
      <c r="R294" s="5">
        <v>3</v>
      </c>
      <c r="S294" s="4">
        <v>51500</v>
      </c>
      <c r="T294" s="4" t="s">
        <v>1794</v>
      </c>
      <c r="U294" s="3" t="s">
        <v>87</v>
      </c>
      <c r="V294" s="2" t="s">
        <v>138</v>
      </c>
    </row>
    <row r="295" spans="1:22" x14ac:dyDescent="0.35">
      <c r="A295" s="1" t="s">
        <v>1187</v>
      </c>
      <c r="B295" s="10">
        <v>45453</v>
      </c>
      <c r="C295" s="2" t="s">
        <v>1785</v>
      </c>
      <c r="D295" s="2" t="s">
        <v>1188</v>
      </c>
      <c r="E295" s="2" t="s">
        <v>1012</v>
      </c>
      <c r="F295" s="2" t="s">
        <v>1189</v>
      </c>
      <c r="G295" s="2" t="s">
        <v>315</v>
      </c>
      <c r="H295" s="1" t="s">
        <v>256</v>
      </c>
      <c r="I295" s="1" t="s">
        <v>24</v>
      </c>
      <c r="J295" s="1" t="s">
        <v>250</v>
      </c>
      <c r="K295" s="2" t="s">
        <v>251</v>
      </c>
      <c r="L295" s="2" t="s">
        <v>84</v>
      </c>
      <c r="M295" s="2" t="s">
        <v>85</v>
      </c>
      <c r="N295" s="2" t="s">
        <v>252</v>
      </c>
      <c r="O295" s="12">
        <v>8</v>
      </c>
      <c r="P295" s="12">
        <v>42000</v>
      </c>
      <c r="Q295" s="14">
        <v>80</v>
      </c>
      <c r="R295" s="1">
        <v>18</v>
      </c>
      <c r="S295" s="4">
        <v>79295.999999999985</v>
      </c>
      <c r="T295" s="4" t="s">
        <v>54</v>
      </c>
      <c r="U295" s="3" t="s">
        <v>137</v>
      </c>
      <c r="V295" s="2" t="s">
        <v>95</v>
      </c>
    </row>
    <row r="296" spans="1:22" x14ac:dyDescent="0.35">
      <c r="A296" s="5" t="s">
        <v>1190</v>
      </c>
      <c r="B296" s="10">
        <v>45379</v>
      </c>
      <c r="C296" s="6" t="s">
        <v>1786</v>
      </c>
      <c r="D296" s="6" t="s">
        <v>1191</v>
      </c>
      <c r="E296" s="6" t="s">
        <v>772</v>
      </c>
      <c r="F296" s="6" t="s">
        <v>1192</v>
      </c>
      <c r="G296" s="6" t="s">
        <v>70</v>
      </c>
      <c r="H296" s="5" t="s">
        <v>70</v>
      </c>
      <c r="I296" s="5" t="s">
        <v>71</v>
      </c>
      <c r="J296" s="5" t="s">
        <v>266</v>
      </c>
      <c r="K296" s="6" t="s">
        <v>267</v>
      </c>
      <c r="L296" s="6" t="s">
        <v>62</v>
      </c>
      <c r="M296" s="6" t="s">
        <v>63</v>
      </c>
      <c r="N296" s="6" t="s">
        <v>268</v>
      </c>
      <c r="O296" s="12">
        <v>7</v>
      </c>
      <c r="P296" s="12">
        <v>8500</v>
      </c>
      <c r="Q296" s="13">
        <v>15</v>
      </c>
      <c r="R296" s="5">
        <v>18</v>
      </c>
      <c r="S296" s="4">
        <v>59678.5</v>
      </c>
      <c r="T296" s="4" t="s">
        <v>1794</v>
      </c>
      <c r="U296" s="6" t="s">
        <v>30</v>
      </c>
      <c r="V296" s="2" t="s">
        <v>95</v>
      </c>
    </row>
    <row r="297" spans="1:22" x14ac:dyDescent="0.35">
      <c r="A297" s="5" t="s">
        <v>1193</v>
      </c>
      <c r="B297" s="10">
        <v>45445</v>
      </c>
      <c r="C297" s="6" t="s">
        <v>467</v>
      </c>
      <c r="D297" s="6" t="s">
        <v>1194</v>
      </c>
      <c r="E297" s="6" t="s">
        <v>747</v>
      </c>
      <c r="F297" s="6" t="s">
        <v>1195</v>
      </c>
      <c r="G297" s="6" t="s">
        <v>349</v>
      </c>
      <c r="H297" s="5" t="s">
        <v>209</v>
      </c>
      <c r="I297" s="5" t="s">
        <v>210</v>
      </c>
      <c r="J297" s="5" t="s">
        <v>184</v>
      </c>
      <c r="K297" s="6" t="s">
        <v>185</v>
      </c>
      <c r="L297" s="6" t="s">
        <v>51</v>
      </c>
      <c r="M297" s="6" t="s">
        <v>186</v>
      </c>
      <c r="N297" s="6" t="s">
        <v>74</v>
      </c>
      <c r="O297" s="12">
        <v>7</v>
      </c>
      <c r="P297" s="12">
        <v>35000</v>
      </c>
      <c r="Q297" s="14">
        <v>0</v>
      </c>
      <c r="R297" s="5">
        <v>18</v>
      </c>
      <c r="S297" s="4">
        <v>289100</v>
      </c>
      <c r="T297" s="4" t="s">
        <v>94</v>
      </c>
      <c r="U297" s="3" t="s">
        <v>137</v>
      </c>
      <c r="V297" s="2" t="s">
        <v>138</v>
      </c>
    </row>
    <row r="298" spans="1:22" x14ac:dyDescent="0.35">
      <c r="A298" s="1" t="s">
        <v>1196</v>
      </c>
      <c r="B298" s="10">
        <v>45342</v>
      </c>
      <c r="C298" s="2" t="s">
        <v>537</v>
      </c>
      <c r="D298" s="2" t="s">
        <v>1197</v>
      </c>
      <c r="E298" s="2" t="s">
        <v>1036</v>
      </c>
      <c r="F298" s="2" t="s">
        <v>1198</v>
      </c>
      <c r="G298" s="2" t="s">
        <v>237</v>
      </c>
      <c r="H298" s="1" t="s">
        <v>23</v>
      </c>
      <c r="I298" s="1" t="s">
        <v>24</v>
      </c>
      <c r="J298" s="1" t="s">
        <v>184</v>
      </c>
      <c r="K298" s="2" t="s">
        <v>185</v>
      </c>
      <c r="L298" s="2" t="s">
        <v>51</v>
      </c>
      <c r="M298" s="2" t="s">
        <v>186</v>
      </c>
      <c r="N298" s="2" t="s">
        <v>74</v>
      </c>
      <c r="O298" s="12">
        <v>10</v>
      </c>
      <c r="P298" s="12">
        <v>35000</v>
      </c>
      <c r="Q298" s="13">
        <v>15</v>
      </c>
      <c r="R298" s="1">
        <v>18</v>
      </c>
      <c r="S298" s="4">
        <v>351050</v>
      </c>
      <c r="T298" s="4" t="s">
        <v>294</v>
      </c>
      <c r="U298" s="2" t="s">
        <v>30</v>
      </c>
      <c r="V298" s="2" t="s">
        <v>95</v>
      </c>
    </row>
    <row r="299" spans="1:22" x14ac:dyDescent="0.35">
      <c r="A299" s="5" t="s">
        <v>1199</v>
      </c>
      <c r="B299" s="10">
        <v>45466</v>
      </c>
      <c r="C299" s="6" t="s">
        <v>197</v>
      </c>
      <c r="D299" s="6" t="s">
        <v>1200</v>
      </c>
      <c r="E299" s="6" t="s">
        <v>1789</v>
      </c>
      <c r="F299" s="6" t="s">
        <v>1201</v>
      </c>
      <c r="G299" s="6" t="s">
        <v>109</v>
      </c>
      <c r="H299" s="5" t="s">
        <v>48</v>
      </c>
      <c r="I299" s="5" t="s">
        <v>24</v>
      </c>
      <c r="J299" s="5" t="s">
        <v>72</v>
      </c>
      <c r="K299" s="6" t="s">
        <v>73</v>
      </c>
      <c r="L299" s="6" t="s">
        <v>51</v>
      </c>
      <c r="M299" s="6" t="s">
        <v>52</v>
      </c>
      <c r="N299" s="6" t="s">
        <v>74</v>
      </c>
      <c r="O299" s="12">
        <v>5</v>
      </c>
      <c r="P299" s="12">
        <v>14000</v>
      </c>
      <c r="Q299" s="14">
        <v>12</v>
      </c>
      <c r="R299" s="5">
        <v>18</v>
      </c>
      <c r="S299" s="4">
        <v>72688</v>
      </c>
      <c r="T299" s="4" t="s">
        <v>54</v>
      </c>
      <c r="U299" s="3" t="s">
        <v>87</v>
      </c>
      <c r="V299" s="2" t="s">
        <v>138</v>
      </c>
    </row>
    <row r="300" spans="1:22" x14ac:dyDescent="0.35">
      <c r="A300" s="1" t="s">
        <v>1202</v>
      </c>
      <c r="B300" s="10">
        <v>45468</v>
      </c>
      <c r="C300" s="2" t="s">
        <v>1784</v>
      </c>
      <c r="D300" s="2" t="s">
        <v>1203</v>
      </c>
      <c r="E300" s="2" t="s">
        <v>729</v>
      </c>
      <c r="F300" s="2" t="s">
        <v>1204</v>
      </c>
      <c r="G300" s="2" t="s">
        <v>109</v>
      </c>
      <c r="H300" s="1" t="s">
        <v>48</v>
      </c>
      <c r="I300" s="1" t="s">
        <v>24</v>
      </c>
      <c r="J300" s="1" t="s">
        <v>242</v>
      </c>
      <c r="K300" s="2" t="s">
        <v>243</v>
      </c>
      <c r="L300" s="2" t="s">
        <v>84</v>
      </c>
      <c r="M300" s="2" t="s">
        <v>244</v>
      </c>
      <c r="N300" s="2" t="s">
        <v>245</v>
      </c>
      <c r="O300" s="12">
        <v>1</v>
      </c>
      <c r="P300" s="12">
        <v>3200</v>
      </c>
      <c r="Q300" s="13">
        <v>25</v>
      </c>
      <c r="R300" s="1">
        <v>18</v>
      </c>
      <c r="S300" s="4">
        <v>2832</v>
      </c>
      <c r="T300" s="4" t="s">
        <v>294</v>
      </c>
      <c r="U300" s="2" t="s">
        <v>137</v>
      </c>
      <c r="V300" s="2" t="s">
        <v>95</v>
      </c>
    </row>
    <row r="301" spans="1:22" x14ac:dyDescent="0.35">
      <c r="A301" s="5" t="s">
        <v>1205</v>
      </c>
      <c r="B301" s="10">
        <v>45440</v>
      </c>
      <c r="C301" s="6" t="s">
        <v>1774</v>
      </c>
      <c r="D301" s="6" t="s">
        <v>1206</v>
      </c>
      <c r="E301" s="6" t="s">
        <v>937</v>
      </c>
      <c r="F301" s="6" t="s">
        <v>1207</v>
      </c>
      <c r="G301" s="6" t="s">
        <v>237</v>
      </c>
      <c r="H301" s="5" t="s">
        <v>23</v>
      </c>
      <c r="I301" s="5" t="s">
        <v>24</v>
      </c>
      <c r="J301" s="5" t="s">
        <v>184</v>
      </c>
      <c r="K301" s="6" t="s">
        <v>185</v>
      </c>
      <c r="L301" s="6" t="s">
        <v>51</v>
      </c>
      <c r="M301" s="6" t="s">
        <v>186</v>
      </c>
      <c r="N301" s="6" t="s">
        <v>74</v>
      </c>
      <c r="O301" s="12">
        <v>2</v>
      </c>
      <c r="P301" s="12">
        <v>35000</v>
      </c>
      <c r="Q301" s="14">
        <v>10</v>
      </c>
      <c r="R301" s="5">
        <v>18</v>
      </c>
      <c r="S301" s="4">
        <v>74340</v>
      </c>
      <c r="T301" s="4" t="s">
        <v>94</v>
      </c>
      <c r="U301" s="3" t="s">
        <v>30</v>
      </c>
      <c r="V301" s="2" t="s">
        <v>95</v>
      </c>
    </row>
    <row r="302" spans="1:22" x14ac:dyDescent="0.35">
      <c r="A302" s="1" t="s">
        <v>1208</v>
      </c>
      <c r="B302" s="10">
        <v>45410</v>
      </c>
      <c r="C302" s="2" t="s">
        <v>346</v>
      </c>
      <c r="D302" s="2" t="s">
        <v>1209</v>
      </c>
      <c r="E302" s="2" t="s">
        <v>725</v>
      </c>
      <c r="F302" s="2" t="s">
        <v>1210</v>
      </c>
      <c r="G302" s="2" t="s">
        <v>315</v>
      </c>
      <c r="H302" s="1" t="s">
        <v>256</v>
      </c>
      <c r="I302" s="1" t="s">
        <v>24</v>
      </c>
      <c r="J302" s="1" t="s">
        <v>49</v>
      </c>
      <c r="K302" s="2" t="s">
        <v>50</v>
      </c>
      <c r="L302" s="2" t="s">
        <v>51</v>
      </c>
      <c r="M302" s="2" t="s">
        <v>52</v>
      </c>
      <c r="N302" s="2" t="s">
        <v>53</v>
      </c>
      <c r="O302" s="12">
        <v>1</v>
      </c>
      <c r="P302" s="12">
        <v>28000</v>
      </c>
      <c r="Q302" s="13">
        <v>20</v>
      </c>
      <c r="R302" s="1">
        <v>18</v>
      </c>
      <c r="S302" s="4">
        <v>26432</v>
      </c>
      <c r="T302" s="4" t="s">
        <v>1793</v>
      </c>
      <c r="U302" s="3" t="s">
        <v>137</v>
      </c>
      <c r="V302" s="2" t="s">
        <v>138</v>
      </c>
    </row>
    <row r="303" spans="1:22" x14ac:dyDescent="0.35">
      <c r="A303" s="5" t="s">
        <v>1211</v>
      </c>
      <c r="B303" s="10">
        <v>45371</v>
      </c>
      <c r="C303" s="6" t="s">
        <v>1775</v>
      </c>
      <c r="D303" s="6" t="s">
        <v>1212</v>
      </c>
      <c r="E303" s="6" t="s">
        <v>1213</v>
      </c>
      <c r="F303" s="6" t="s">
        <v>1214</v>
      </c>
      <c r="G303" s="6" t="s">
        <v>237</v>
      </c>
      <c r="H303" s="5" t="s">
        <v>23</v>
      </c>
      <c r="I303" s="5" t="s">
        <v>24</v>
      </c>
      <c r="J303" s="5" t="s">
        <v>60</v>
      </c>
      <c r="K303" s="6" t="s">
        <v>61</v>
      </c>
      <c r="L303" s="6" t="s">
        <v>62</v>
      </c>
      <c r="M303" s="6" t="s">
        <v>63</v>
      </c>
      <c r="N303" s="6" t="s">
        <v>64</v>
      </c>
      <c r="O303" s="12">
        <v>4</v>
      </c>
      <c r="P303" s="12">
        <v>3500</v>
      </c>
      <c r="Q303" s="14">
        <v>25</v>
      </c>
      <c r="R303" s="5">
        <v>18</v>
      </c>
      <c r="S303" s="4">
        <v>12390</v>
      </c>
      <c r="T303" s="4" t="s">
        <v>1793</v>
      </c>
      <c r="U303" s="6" t="s">
        <v>137</v>
      </c>
      <c r="V303" s="2" t="s">
        <v>95</v>
      </c>
    </row>
    <row r="304" spans="1:22" x14ac:dyDescent="0.35">
      <c r="A304" s="1" t="s">
        <v>1215</v>
      </c>
      <c r="B304" s="10">
        <v>45340</v>
      </c>
      <c r="C304" s="2" t="s">
        <v>1763</v>
      </c>
      <c r="D304" s="2" t="s">
        <v>1216</v>
      </c>
      <c r="E304" s="2" t="s">
        <v>240</v>
      </c>
      <c r="F304" s="2" t="s">
        <v>1217</v>
      </c>
      <c r="G304" s="2" t="s">
        <v>315</v>
      </c>
      <c r="H304" s="1" t="s">
        <v>256</v>
      </c>
      <c r="I304" s="1" t="s">
        <v>24</v>
      </c>
      <c r="J304" s="1" t="s">
        <v>72</v>
      </c>
      <c r="K304" s="2" t="s">
        <v>73</v>
      </c>
      <c r="L304" s="2" t="s">
        <v>51</v>
      </c>
      <c r="M304" s="2" t="s">
        <v>52</v>
      </c>
      <c r="N304" s="2" t="s">
        <v>74</v>
      </c>
      <c r="O304" s="12">
        <v>3</v>
      </c>
      <c r="P304" s="12">
        <v>14000</v>
      </c>
      <c r="Q304" s="13">
        <v>20</v>
      </c>
      <c r="R304" s="1">
        <v>18</v>
      </c>
      <c r="S304" s="4">
        <v>39648</v>
      </c>
      <c r="T304" s="4" t="s">
        <v>294</v>
      </c>
      <c r="U304" s="2" t="s">
        <v>87</v>
      </c>
      <c r="V304" s="2" t="s">
        <v>95</v>
      </c>
    </row>
    <row r="305" spans="1:22" x14ac:dyDescent="0.35">
      <c r="A305" s="5" t="s">
        <v>1218</v>
      </c>
      <c r="B305" s="10">
        <v>45394</v>
      </c>
      <c r="C305" s="6" t="s">
        <v>1786</v>
      </c>
      <c r="D305" s="6" t="s">
        <v>1219</v>
      </c>
      <c r="E305" s="6" t="s">
        <v>1220</v>
      </c>
      <c r="F305" s="6" t="s">
        <v>1221</v>
      </c>
      <c r="G305" s="6" t="s">
        <v>166</v>
      </c>
      <c r="H305" s="5" t="s">
        <v>167</v>
      </c>
      <c r="I305" s="5" t="s">
        <v>71</v>
      </c>
      <c r="J305" s="5" t="s">
        <v>242</v>
      </c>
      <c r="K305" s="6" t="s">
        <v>243</v>
      </c>
      <c r="L305" s="6" t="s">
        <v>84</v>
      </c>
      <c r="M305" s="6" t="s">
        <v>244</v>
      </c>
      <c r="N305" s="6" t="s">
        <v>245</v>
      </c>
      <c r="O305" s="12">
        <v>1</v>
      </c>
      <c r="P305" s="12">
        <v>3200</v>
      </c>
      <c r="Q305" s="14">
        <v>10</v>
      </c>
      <c r="R305" s="5">
        <v>18</v>
      </c>
      <c r="S305" s="4">
        <v>3398.3999999999996</v>
      </c>
      <c r="T305" s="4" t="s">
        <v>1793</v>
      </c>
      <c r="U305" s="3" t="s">
        <v>137</v>
      </c>
      <c r="V305" s="2" t="s">
        <v>95</v>
      </c>
    </row>
    <row r="306" spans="1:22" x14ac:dyDescent="0.35">
      <c r="A306" s="1" t="s">
        <v>1222</v>
      </c>
      <c r="B306" s="10">
        <v>45317</v>
      </c>
      <c r="C306" s="2" t="s">
        <v>1780</v>
      </c>
      <c r="D306" s="2" t="s">
        <v>1223</v>
      </c>
      <c r="E306" s="2" t="s">
        <v>1224</v>
      </c>
      <c r="F306" s="2" t="s">
        <v>1225</v>
      </c>
      <c r="G306" s="2" t="s">
        <v>109</v>
      </c>
      <c r="H306" s="1" t="s">
        <v>48</v>
      </c>
      <c r="I306" s="1" t="s">
        <v>24</v>
      </c>
      <c r="J306" s="1" t="s">
        <v>49</v>
      </c>
      <c r="K306" s="2" t="s">
        <v>50</v>
      </c>
      <c r="L306" s="2" t="s">
        <v>51</v>
      </c>
      <c r="M306" s="2" t="s">
        <v>52</v>
      </c>
      <c r="N306" s="2" t="s">
        <v>53</v>
      </c>
      <c r="O306" s="12">
        <v>1</v>
      </c>
      <c r="P306" s="12">
        <v>28000</v>
      </c>
      <c r="Q306" s="13">
        <v>8</v>
      </c>
      <c r="R306" s="1">
        <v>18</v>
      </c>
      <c r="S306" s="4">
        <v>30396.799999999999</v>
      </c>
      <c r="T306" s="4" t="s">
        <v>1793</v>
      </c>
      <c r="U306" s="2" t="s">
        <v>116</v>
      </c>
      <c r="V306" s="2" t="s">
        <v>138</v>
      </c>
    </row>
    <row r="307" spans="1:22" x14ac:dyDescent="0.35">
      <c r="A307" s="5" t="s">
        <v>1226</v>
      </c>
      <c r="B307" s="10">
        <v>45454</v>
      </c>
      <c r="C307" s="6" t="s">
        <v>32</v>
      </c>
      <c r="D307" s="6" t="s">
        <v>1227</v>
      </c>
      <c r="E307" s="6" t="s">
        <v>1228</v>
      </c>
      <c r="F307" s="6" t="s">
        <v>1229</v>
      </c>
      <c r="G307" s="6" t="s">
        <v>92</v>
      </c>
      <c r="H307" s="5" t="s">
        <v>93</v>
      </c>
      <c r="I307" s="5" t="s">
        <v>38</v>
      </c>
      <c r="J307" s="5" t="s">
        <v>25</v>
      </c>
      <c r="K307" s="6" t="s">
        <v>26</v>
      </c>
      <c r="L307" s="6" t="s">
        <v>27</v>
      </c>
      <c r="M307" s="6" t="s">
        <v>28</v>
      </c>
      <c r="N307" s="6" t="s">
        <v>29</v>
      </c>
      <c r="O307" s="12">
        <v>10</v>
      </c>
      <c r="P307" s="12">
        <v>450</v>
      </c>
      <c r="Q307" s="14">
        <v>8</v>
      </c>
      <c r="R307" s="5">
        <v>5</v>
      </c>
      <c r="S307" s="4">
        <v>4347</v>
      </c>
      <c r="T307" s="4" t="s">
        <v>1793</v>
      </c>
      <c r="U307" s="3" t="s">
        <v>137</v>
      </c>
      <c r="V307" s="2" t="s">
        <v>138</v>
      </c>
    </row>
    <row r="308" spans="1:22" x14ac:dyDescent="0.35">
      <c r="A308" s="1" t="s">
        <v>1230</v>
      </c>
      <c r="B308" s="10">
        <v>45424</v>
      </c>
      <c r="C308" s="2" t="s">
        <v>76</v>
      </c>
      <c r="D308" s="2" t="s">
        <v>1231</v>
      </c>
      <c r="E308" s="2" t="s">
        <v>274</v>
      </c>
      <c r="F308" s="2" t="s">
        <v>1232</v>
      </c>
      <c r="G308" s="2" t="s">
        <v>166</v>
      </c>
      <c r="H308" s="1" t="s">
        <v>167</v>
      </c>
      <c r="I308" s="1" t="s">
        <v>71</v>
      </c>
      <c r="J308" s="1" t="s">
        <v>201</v>
      </c>
      <c r="K308" s="2" t="s">
        <v>202</v>
      </c>
      <c r="L308" s="2" t="s">
        <v>27</v>
      </c>
      <c r="M308" s="2" t="s">
        <v>203</v>
      </c>
      <c r="N308" s="2" t="s">
        <v>204</v>
      </c>
      <c r="O308" s="12">
        <v>8</v>
      </c>
      <c r="P308" s="12">
        <v>280</v>
      </c>
      <c r="Q308" s="13">
        <v>5</v>
      </c>
      <c r="R308" s="1">
        <v>5</v>
      </c>
      <c r="S308" s="4">
        <v>2234.4</v>
      </c>
      <c r="T308" s="4" t="s">
        <v>94</v>
      </c>
      <c r="U308" s="3" t="s">
        <v>137</v>
      </c>
      <c r="V308" s="2" t="s">
        <v>95</v>
      </c>
    </row>
    <row r="309" spans="1:22" x14ac:dyDescent="0.35">
      <c r="A309" s="5" t="s">
        <v>1233</v>
      </c>
      <c r="B309" s="10">
        <v>45313</v>
      </c>
      <c r="C309" s="6" t="s">
        <v>525</v>
      </c>
      <c r="D309" s="6" t="s">
        <v>1234</v>
      </c>
      <c r="E309" s="6" t="s">
        <v>796</v>
      </c>
      <c r="F309" s="6" t="s">
        <v>1235</v>
      </c>
      <c r="G309" s="6" t="s">
        <v>36</v>
      </c>
      <c r="H309" s="5" t="s">
        <v>37</v>
      </c>
      <c r="I309" s="5" t="s">
        <v>38</v>
      </c>
      <c r="J309" s="5" t="s">
        <v>201</v>
      </c>
      <c r="K309" s="6" t="s">
        <v>202</v>
      </c>
      <c r="L309" s="6" t="s">
        <v>27</v>
      </c>
      <c r="M309" s="6" t="s">
        <v>203</v>
      </c>
      <c r="N309" s="6" t="s">
        <v>204</v>
      </c>
      <c r="O309" s="12">
        <v>4</v>
      </c>
      <c r="P309" s="12">
        <v>280</v>
      </c>
      <c r="Q309" s="14">
        <v>20</v>
      </c>
      <c r="R309" s="5">
        <v>5</v>
      </c>
      <c r="S309" s="4">
        <v>940.80000000000007</v>
      </c>
      <c r="T309" s="4" t="s">
        <v>94</v>
      </c>
      <c r="U309" s="6" t="s">
        <v>87</v>
      </c>
      <c r="V309" s="2" t="s">
        <v>95</v>
      </c>
    </row>
    <row r="310" spans="1:22" x14ac:dyDescent="0.35">
      <c r="A310" s="1" t="s">
        <v>1236</v>
      </c>
      <c r="B310" s="10">
        <v>45317</v>
      </c>
      <c r="C310" s="2" t="s">
        <v>1773</v>
      </c>
      <c r="D310" s="2" t="s">
        <v>1237</v>
      </c>
      <c r="E310" s="2" t="s">
        <v>164</v>
      </c>
      <c r="F310" s="2" t="s">
        <v>1238</v>
      </c>
      <c r="G310" s="2" t="s">
        <v>166</v>
      </c>
      <c r="H310" s="1" t="s">
        <v>167</v>
      </c>
      <c r="I310" s="1" t="s">
        <v>71</v>
      </c>
      <c r="J310" s="1" t="s">
        <v>49</v>
      </c>
      <c r="K310" s="2" t="s">
        <v>50</v>
      </c>
      <c r="L310" s="2" t="s">
        <v>51</v>
      </c>
      <c r="M310" s="2" t="s">
        <v>52</v>
      </c>
      <c r="N310" s="2" t="s">
        <v>53</v>
      </c>
      <c r="O310" s="12">
        <v>1</v>
      </c>
      <c r="P310" s="12">
        <v>28000</v>
      </c>
      <c r="Q310" s="13">
        <v>5</v>
      </c>
      <c r="R310" s="1">
        <v>18</v>
      </c>
      <c r="S310" s="4">
        <v>31388</v>
      </c>
      <c r="T310" s="4" t="s">
        <v>94</v>
      </c>
      <c r="U310" s="2" t="s">
        <v>195</v>
      </c>
      <c r="V310" s="2" t="s">
        <v>95</v>
      </c>
    </row>
    <row r="311" spans="1:22" x14ac:dyDescent="0.35">
      <c r="A311" s="5" t="s">
        <v>1239</v>
      </c>
      <c r="B311" s="10">
        <v>45330</v>
      </c>
      <c r="C311" s="6" t="s">
        <v>32</v>
      </c>
      <c r="D311" s="6" t="s">
        <v>1240</v>
      </c>
      <c r="E311" s="6" t="s">
        <v>1241</v>
      </c>
      <c r="F311" s="6" t="s">
        <v>1242</v>
      </c>
      <c r="G311" s="6" t="s">
        <v>36</v>
      </c>
      <c r="H311" s="5" t="s">
        <v>37</v>
      </c>
      <c r="I311" s="5" t="s">
        <v>38</v>
      </c>
      <c r="J311" s="5" t="s">
        <v>39</v>
      </c>
      <c r="K311" s="6" t="s">
        <v>40</v>
      </c>
      <c r="L311" s="6" t="s">
        <v>41</v>
      </c>
      <c r="M311" s="6" t="s">
        <v>42</v>
      </c>
      <c r="N311" s="6" t="s">
        <v>43</v>
      </c>
      <c r="O311" s="12">
        <v>1</v>
      </c>
      <c r="P311" s="12">
        <v>25000</v>
      </c>
      <c r="Q311" s="14">
        <v>20</v>
      </c>
      <c r="R311" s="5">
        <v>3</v>
      </c>
      <c r="S311" s="4">
        <v>20600</v>
      </c>
      <c r="T311" s="4" t="s">
        <v>1793</v>
      </c>
      <c r="U311" s="3" t="s">
        <v>137</v>
      </c>
      <c r="V311" s="2" t="s">
        <v>138</v>
      </c>
    </row>
    <row r="312" spans="1:22" x14ac:dyDescent="0.35">
      <c r="A312" s="1" t="s">
        <v>1243</v>
      </c>
      <c r="B312" s="10">
        <v>45349</v>
      </c>
      <c r="C312" s="2" t="s">
        <v>1780</v>
      </c>
      <c r="D312" s="2" t="s">
        <v>1244</v>
      </c>
      <c r="E312" s="2" t="s">
        <v>623</v>
      </c>
      <c r="F312" s="2" t="s">
        <v>1245</v>
      </c>
      <c r="G312" s="2" t="s">
        <v>237</v>
      </c>
      <c r="H312" s="1" t="s">
        <v>23</v>
      </c>
      <c r="I312" s="1" t="s">
        <v>24</v>
      </c>
      <c r="J312" s="1" t="s">
        <v>49</v>
      </c>
      <c r="K312" s="2" t="s">
        <v>50</v>
      </c>
      <c r="L312" s="2" t="s">
        <v>51</v>
      </c>
      <c r="M312" s="2" t="s">
        <v>52</v>
      </c>
      <c r="N312" s="2" t="s">
        <v>53</v>
      </c>
      <c r="O312" s="12">
        <v>7</v>
      </c>
      <c r="P312" s="12">
        <v>28000</v>
      </c>
      <c r="Q312" s="13">
        <v>8</v>
      </c>
      <c r="R312" s="1">
        <v>18</v>
      </c>
      <c r="S312" s="4">
        <v>212777.59999999998</v>
      </c>
      <c r="T312" s="4" t="s">
        <v>54</v>
      </c>
      <c r="U312" s="3" t="s">
        <v>137</v>
      </c>
      <c r="V312" s="2" t="s">
        <v>95</v>
      </c>
    </row>
    <row r="313" spans="1:22" x14ac:dyDescent="0.35">
      <c r="A313" s="5" t="s">
        <v>1246</v>
      </c>
      <c r="B313" s="10">
        <v>45455</v>
      </c>
      <c r="C313" s="6" t="s">
        <v>1784</v>
      </c>
      <c r="D313" s="6" t="s">
        <v>1247</v>
      </c>
      <c r="E313" s="6" t="s">
        <v>877</v>
      </c>
      <c r="F313" s="6" t="s">
        <v>1248</v>
      </c>
      <c r="G313" s="6" t="s">
        <v>109</v>
      </c>
      <c r="H313" s="5" t="s">
        <v>48</v>
      </c>
      <c r="I313" s="5" t="s">
        <v>24</v>
      </c>
      <c r="J313" s="5" t="s">
        <v>276</v>
      </c>
      <c r="K313" s="6" t="s">
        <v>277</v>
      </c>
      <c r="L313" s="6" t="s">
        <v>51</v>
      </c>
      <c r="M313" s="6" t="s">
        <v>102</v>
      </c>
      <c r="N313" s="6" t="s">
        <v>278</v>
      </c>
      <c r="O313" s="12">
        <v>10</v>
      </c>
      <c r="P313" s="12">
        <v>1500</v>
      </c>
      <c r="Q313" s="14">
        <v>20</v>
      </c>
      <c r="R313" s="5">
        <v>18</v>
      </c>
      <c r="S313" s="4">
        <v>14160</v>
      </c>
      <c r="T313" s="4" t="s">
        <v>1793</v>
      </c>
      <c r="U313" s="3" t="s">
        <v>116</v>
      </c>
      <c r="V313" s="2" t="s">
        <v>95</v>
      </c>
    </row>
    <row r="314" spans="1:22" x14ac:dyDescent="0.35">
      <c r="A314" s="1" t="s">
        <v>1249</v>
      </c>
      <c r="B314" s="10">
        <v>45391</v>
      </c>
      <c r="C314" s="2" t="s">
        <v>1766</v>
      </c>
      <c r="D314" s="2" t="s">
        <v>1250</v>
      </c>
      <c r="E314" s="2" t="s">
        <v>1251</v>
      </c>
      <c r="F314" s="2" t="s">
        <v>1252</v>
      </c>
      <c r="G314" s="2" t="s">
        <v>150</v>
      </c>
      <c r="H314" s="1" t="s">
        <v>93</v>
      </c>
      <c r="I314" s="1" t="s">
        <v>675</v>
      </c>
      <c r="J314" s="1" t="s">
        <v>354</v>
      </c>
      <c r="K314" s="2" t="s">
        <v>355</v>
      </c>
      <c r="L314" s="2" t="s">
        <v>62</v>
      </c>
      <c r="M314" s="2" t="s">
        <v>356</v>
      </c>
      <c r="N314" s="2" t="s">
        <v>357</v>
      </c>
      <c r="O314" s="12">
        <v>9</v>
      </c>
      <c r="P314" s="12">
        <v>4500</v>
      </c>
      <c r="Q314" s="13">
        <v>20</v>
      </c>
      <c r="R314" s="1">
        <v>5</v>
      </c>
      <c r="S314" s="4">
        <v>34020</v>
      </c>
      <c r="T314" s="4" t="s">
        <v>294</v>
      </c>
      <c r="U314" s="3" t="s">
        <v>137</v>
      </c>
      <c r="V314" s="2" t="s">
        <v>138</v>
      </c>
    </row>
    <row r="315" spans="1:22" x14ac:dyDescent="0.35">
      <c r="A315" s="5" t="s">
        <v>1253</v>
      </c>
      <c r="B315" s="10">
        <v>45315</v>
      </c>
      <c r="C315" s="6" t="s">
        <v>525</v>
      </c>
      <c r="D315" s="6" t="s">
        <v>1254</v>
      </c>
      <c r="E315" s="6" t="s">
        <v>527</v>
      </c>
      <c r="F315" s="6" t="s">
        <v>1255</v>
      </c>
      <c r="G315" s="6" t="s">
        <v>349</v>
      </c>
      <c r="H315" s="5" t="s">
        <v>209</v>
      </c>
      <c r="I315" s="5" t="s">
        <v>210</v>
      </c>
      <c r="J315" s="5" t="s">
        <v>257</v>
      </c>
      <c r="K315" s="6" t="s">
        <v>258</v>
      </c>
      <c r="L315" s="6" t="s">
        <v>62</v>
      </c>
      <c r="M315" s="6" t="s">
        <v>259</v>
      </c>
      <c r="N315" s="6" t="s">
        <v>260</v>
      </c>
      <c r="O315" s="12">
        <v>1</v>
      </c>
      <c r="P315" s="12">
        <v>3500</v>
      </c>
      <c r="Q315" s="14">
        <v>10</v>
      </c>
      <c r="R315" s="5">
        <v>5</v>
      </c>
      <c r="S315" s="4">
        <v>3307.5</v>
      </c>
      <c r="T315" s="4" t="s">
        <v>65</v>
      </c>
      <c r="U315" s="3" t="s">
        <v>137</v>
      </c>
      <c r="V315" s="2" t="s">
        <v>95</v>
      </c>
    </row>
    <row r="316" spans="1:22" x14ac:dyDescent="0.35">
      <c r="A316" s="1" t="s">
        <v>1256</v>
      </c>
      <c r="B316" s="10">
        <v>45462</v>
      </c>
      <c r="C316" s="2" t="s">
        <v>1776</v>
      </c>
      <c r="D316" s="2" t="s">
        <v>1257</v>
      </c>
      <c r="E316" s="2" t="s">
        <v>1258</v>
      </c>
      <c r="F316" s="2" t="s">
        <v>1259</v>
      </c>
      <c r="G316" s="2" t="s">
        <v>230</v>
      </c>
      <c r="H316" s="1" t="s">
        <v>231</v>
      </c>
      <c r="I316" s="1" t="s">
        <v>24</v>
      </c>
      <c r="J316" s="1" t="s">
        <v>250</v>
      </c>
      <c r="K316" s="2" t="s">
        <v>251</v>
      </c>
      <c r="L316" s="2" t="s">
        <v>84</v>
      </c>
      <c r="M316" s="2" t="s">
        <v>85</v>
      </c>
      <c r="N316" s="2" t="s">
        <v>252</v>
      </c>
      <c r="O316" s="12">
        <v>7</v>
      </c>
      <c r="P316" s="12">
        <v>42000</v>
      </c>
      <c r="Q316" s="13">
        <v>0</v>
      </c>
      <c r="R316" s="1">
        <v>18</v>
      </c>
      <c r="S316" s="4">
        <v>346920</v>
      </c>
      <c r="T316" s="4" t="s">
        <v>54</v>
      </c>
      <c r="U316" s="3" t="s">
        <v>87</v>
      </c>
      <c r="V316" s="2" t="s">
        <v>138</v>
      </c>
    </row>
    <row r="317" spans="1:22" x14ac:dyDescent="0.35">
      <c r="A317" s="5" t="s">
        <v>1260</v>
      </c>
      <c r="B317" s="10">
        <v>45356</v>
      </c>
      <c r="C317" s="6" t="s">
        <v>1780</v>
      </c>
      <c r="D317" s="6" t="s">
        <v>1261</v>
      </c>
      <c r="E317" s="6" t="s">
        <v>1224</v>
      </c>
      <c r="F317" s="6" t="s">
        <v>1262</v>
      </c>
      <c r="G317" s="6" t="s">
        <v>109</v>
      </c>
      <c r="H317" s="5" t="s">
        <v>48</v>
      </c>
      <c r="I317" s="5" t="s">
        <v>24</v>
      </c>
      <c r="J317" s="5" t="s">
        <v>354</v>
      </c>
      <c r="K317" s="6" t="s">
        <v>355</v>
      </c>
      <c r="L317" s="6" t="s">
        <v>62</v>
      </c>
      <c r="M317" s="6" t="s">
        <v>356</v>
      </c>
      <c r="N317" s="6" t="s">
        <v>357</v>
      </c>
      <c r="O317" s="12">
        <v>3</v>
      </c>
      <c r="P317" s="12">
        <v>4500</v>
      </c>
      <c r="Q317" s="14">
        <v>25</v>
      </c>
      <c r="R317" s="5">
        <v>5</v>
      </c>
      <c r="S317" s="4">
        <v>10631.25</v>
      </c>
      <c r="T317" s="4" t="s">
        <v>294</v>
      </c>
      <c r="U317" s="6" t="s">
        <v>137</v>
      </c>
      <c r="V317" s="2" t="s">
        <v>95</v>
      </c>
    </row>
    <row r="318" spans="1:22" x14ac:dyDescent="0.35">
      <c r="A318" s="1" t="s">
        <v>1263</v>
      </c>
      <c r="B318" s="10">
        <v>45347</v>
      </c>
      <c r="C318" s="2" t="s">
        <v>1769</v>
      </c>
      <c r="D318" s="2" t="s">
        <v>1264</v>
      </c>
      <c r="E318" s="2" t="s">
        <v>285</v>
      </c>
      <c r="F318" s="2" t="s">
        <v>1265</v>
      </c>
      <c r="G318" s="2" t="s">
        <v>70</v>
      </c>
      <c r="H318" s="1" t="s">
        <v>70</v>
      </c>
      <c r="I318" s="1" t="s">
        <v>71</v>
      </c>
      <c r="J318" s="1" t="s">
        <v>300</v>
      </c>
      <c r="K318" s="2" t="s">
        <v>301</v>
      </c>
      <c r="L318" s="2" t="s">
        <v>62</v>
      </c>
      <c r="M318" s="2" t="s">
        <v>302</v>
      </c>
      <c r="N318" s="2" t="s">
        <v>303</v>
      </c>
      <c r="O318" s="12">
        <v>1</v>
      </c>
      <c r="P318" s="12">
        <v>4800</v>
      </c>
      <c r="Q318" s="13">
        <v>20</v>
      </c>
      <c r="R318" s="1">
        <v>18</v>
      </c>
      <c r="S318" s="4">
        <v>4531.2</v>
      </c>
      <c r="T318" s="4" t="s">
        <v>65</v>
      </c>
      <c r="U318" s="3" t="s">
        <v>137</v>
      </c>
      <c r="V318" s="2" t="s">
        <v>95</v>
      </c>
    </row>
    <row r="319" spans="1:22" x14ac:dyDescent="0.35">
      <c r="A319" s="5" t="s">
        <v>1266</v>
      </c>
      <c r="B319" s="10">
        <v>45316</v>
      </c>
      <c r="C319" s="6" t="s">
        <v>1777</v>
      </c>
      <c r="D319" s="6" t="s">
        <v>1267</v>
      </c>
      <c r="E319" s="6" t="s">
        <v>447</v>
      </c>
      <c r="F319" s="6" t="s">
        <v>1268</v>
      </c>
      <c r="G319" s="6" t="s">
        <v>109</v>
      </c>
      <c r="H319" s="5" t="s">
        <v>48</v>
      </c>
      <c r="I319" s="5" t="s">
        <v>24</v>
      </c>
      <c r="J319" s="5" t="s">
        <v>257</v>
      </c>
      <c r="K319" s="6" t="s">
        <v>258</v>
      </c>
      <c r="L319" s="6" t="s">
        <v>62</v>
      </c>
      <c r="M319" s="6" t="s">
        <v>259</v>
      </c>
      <c r="N319" s="6" t="s">
        <v>260</v>
      </c>
      <c r="O319" s="12">
        <v>4</v>
      </c>
      <c r="P319" s="12">
        <v>3500</v>
      </c>
      <c r="Q319" s="14">
        <v>80</v>
      </c>
      <c r="R319" s="5">
        <v>5</v>
      </c>
      <c r="S319" s="4">
        <v>2939.9999999999995</v>
      </c>
      <c r="T319" s="4" t="s">
        <v>54</v>
      </c>
      <c r="U319" s="6" t="s">
        <v>87</v>
      </c>
      <c r="V319" s="2" t="s">
        <v>95</v>
      </c>
    </row>
    <row r="320" spans="1:22" x14ac:dyDescent="0.35">
      <c r="A320" s="1" t="s">
        <v>1269</v>
      </c>
      <c r="B320" s="10">
        <v>45303</v>
      </c>
      <c r="C320" s="2" t="s">
        <v>1784</v>
      </c>
      <c r="D320" s="2" t="s">
        <v>1270</v>
      </c>
      <c r="E320" s="2" t="s">
        <v>594</v>
      </c>
      <c r="F320" s="2" t="s">
        <v>1271</v>
      </c>
      <c r="G320" s="2" t="s">
        <v>315</v>
      </c>
      <c r="H320" s="1" t="s">
        <v>256</v>
      </c>
      <c r="I320" s="1" t="s">
        <v>24</v>
      </c>
      <c r="J320" s="1" t="s">
        <v>72</v>
      </c>
      <c r="K320" s="2" t="s">
        <v>73</v>
      </c>
      <c r="L320" s="2" t="s">
        <v>51</v>
      </c>
      <c r="M320" s="2" t="s">
        <v>52</v>
      </c>
      <c r="N320" s="2" t="s">
        <v>74</v>
      </c>
      <c r="O320" s="12">
        <v>4</v>
      </c>
      <c r="P320" s="12">
        <v>0</v>
      </c>
      <c r="Q320" s="13">
        <v>0</v>
      </c>
      <c r="R320" s="1">
        <v>18</v>
      </c>
      <c r="S320" s="4">
        <v>0</v>
      </c>
      <c r="T320" s="4" t="s">
        <v>1794</v>
      </c>
      <c r="U320" s="3" t="s">
        <v>30</v>
      </c>
      <c r="V320" s="2" t="s">
        <v>95</v>
      </c>
    </row>
    <row r="321" spans="1:22" x14ac:dyDescent="0.35">
      <c r="A321" s="5" t="s">
        <v>1272</v>
      </c>
      <c r="B321" s="10">
        <v>45455</v>
      </c>
      <c r="C321" s="6" t="s">
        <v>296</v>
      </c>
      <c r="D321" s="6" t="s">
        <v>1273</v>
      </c>
      <c r="E321" s="6" t="s">
        <v>965</v>
      </c>
      <c r="F321" s="6" t="s">
        <v>1274</v>
      </c>
      <c r="G321" s="6" t="s">
        <v>109</v>
      </c>
      <c r="H321" s="5" t="s">
        <v>48</v>
      </c>
      <c r="I321" s="5" t="s">
        <v>24</v>
      </c>
      <c r="J321" s="5" t="s">
        <v>342</v>
      </c>
      <c r="K321" s="6" t="s">
        <v>343</v>
      </c>
      <c r="L321" s="6" t="s">
        <v>84</v>
      </c>
      <c r="M321" s="6" t="s">
        <v>244</v>
      </c>
      <c r="N321" s="6" t="s">
        <v>344</v>
      </c>
      <c r="O321" s="12">
        <v>3</v>
      </c>
      <c r="P321" s="12">
        <v>2200</v>
      </c>
      <c r="Q321" s="14">
        <v>25</v>
      </c>
      <c r="R321" s="5">
        <v>12</v>
      </c>
      <c r="S321" s="4">
        <v>5544.0000000000009</v>
      </c>
      <c r="T321" s="4" t="s">
        <v>65</v>
      </c>
      <c r="U321" s="3" t="s">
        <v>137</v>
      </c>
      <c r="V321" s="2" t="s">
        <v>138</v>
      </c>
    </row>
    <row r="322" spans="1:22" x14ac:dyDescent="0.35">
      <c r="A322" s="1" t="s">
        <v>1275</v>
      </c>
      <c r="B322" s="10">
        <v>45398</v>
      </c>
      <c r="C322" s="2" t="s">
        <v>1764</v>
      </c>
      <c r="D322" s="2" t="s">
        <v>1276</v>
      </c>
      <c r="E322" s="2" t="s">
        <v>1277</v>
      </c>
      <c r="F322" s="2" t="s">
        <v>1278</v>
      </c>
      <c r="G322" s="2" t="s">
        <v>114</v>
      </c>
      <c r="H322" s="1" t="s">
        <v>115</v>
      </c>
      <c r="I322" s="1" t="s">
        <v>71</v>
      </c>
      <c r="J322" s="1" t="s">
        <v>242</v>
      </c>
      <c r="K322" s="2" t="s">
        <v>243</v>
      </c>
      <c r="L322" s="2" t="s">
        <v>84</v>
      </c>
      <c r="M322" s="2" t="s">
        <v>244</v>
      </c>
      <c r="N322" s="2" t="s">
        <v>245</v>
      </c>
      <c r="O322" s="12">
        <v>5</v>
      </c>
      <c r="P322" s="12">
        <v>3200</v>
      </c>
      <c r="Q322" s="13">
        <v>25</v>
      </c>
      <c r="R322" s="1">
        <v>18</v>
      </c>
      <c r="S322" s="4">
        <v>14160</v>
      </c>
      <c r="T322" s="4" t="s">
        <v>54</v>
      </c>
      <c r="U322" s="2" t="s">
        <v>137</v>
      </c>
      <c r="V322" s="2" t="s">
        <v>138</v>
      </c>
    </row>
    <row r="323" spans="1:22" x14ac:dyDescent="0.35">
      <c r="A323" s="5" t="s">
        <v>1279</v>
      </c>
      <c r="B323" s="10">
        <v>45443</v>
      </c>
      <c r="C323" s="6" t="s">
        <v>1785</v>
      </c>
      <c r="D323" s="6" t="s">
        <v>1280</v>
      </c>
      <c r="E323" s="6" t="s">
        <v>733</v>
      </c>
      <c r="F323" s="6" t="s">
        <v>1281</v>
      </c>
      <c r="G323" s="6" t="s">
        <v>315</v>
      </c>
      <c r="H323" s="5" t="s">
        <v>256</v>
      </c>
      <c r="I323" s="5" t="s">
        <v>675</v>
      </c>
      <c r="J323" s="5" t="s">
        <v>300</v>
      </c>
      <c r="K323" s="6" t="s">
        <v>301</v>
      </c>
      <c r="L323" s="6" t="s">
        <v>62</v>
      </c>
      <c r="M323" s="6" t="s">
        <v>302</v>
      </c>
      <c r="N323" s="6" t="s">
        <v>303</v>
      </c>
      <c r="O323" s="12">
        <v>1</v>
      </c>
      <c r="P323" s="12">
        <v>4800</v>
      </c>
      <c r="Q323" s="14">
        <v>10</v>
      </c>
      <c r="R323" s="5">
        <v>18</v>
      </c>
      <c r="S323" s="4">
        <v>5097.5999999999995</v>
      </c>
      <c r="T323" s="4" t="s">
        <v>65</v>
      </c>
      <c r="U323" s="6" t="s">
        <v>87</v>
      </c>
      <c r="V323" s="2" t="s">
        <v>95</v>
      </c>
    </row>
    <row r="324" spans="1:22" x14ac:dyDescent="0.35">
      <c r="A324" s="1" t="s">
        <v>1282</v>
      </c>
      <c r="B324" s="10">
        <v>45297</v>
      </c>
      <c r="C324" s="2" t="s">
        <v>197</v>
      </c>
      <c r="D324" s="2" t="s">
        <v>1283</v>
      </c>
      <c r="E324" s="2" t="s">
        <v>488</v>
      </c>
      <c r="F324" s="2" t="s">
        <v>1284</v>
      </c>
      <c r="G324" s="2" t="s">
        <v>550</v>
      </c>
      <c r="H324" s="1" t="s">
        <v>37</v>
      </c>
      <c r="I324" s="1" t="s">
        <v>38</v>
      </c>
      <c r="J324" s="1" t="s">
        <v>72</v>
      </c>
      <c r="K324" s="2" t="s">
        <v>73</v>
      </c>
      <c r="L324" s="2" t="s">
        <v>51</v>
      </c>
      <c r="M324" s="2" t="s">
        <v>52</v>
      </c>
      <c r="N324" s="2" t="s">
        <v>74</v>
      </c>
      <c r="O324" s="12">
        <v>5</v>
      </c>
      <c r="P324" s="12">
        <v>14000</v>
      </c>
      <c r="Q324" s="13">
        <v>20</v>
      </c>
      <c r="R324" s="1">
        <v>18</v>
      </c>
      <c r="S324" s="4">
        <v>66080</v>
      </c>
      <c r="T324" s="4" t="s">
        <v>294</v>
      </c>
      <c r="U324" s="2" t="s">
        <v>116</v>
      </c>
      <c r="V324" s="2" t="s">
        <v>95</v>
      </c>
    </row>
    <row r="325" spans="1:22" x14ac:dyDescent="0.35">
      <c r="A325" s="5" t="s">
        <v>1285</v>
      </c>
      <c r="B325" s="10">
        <v>45387</v>
      </c>
      <c r="C325" s="6" t="s">
        <v>296</v>
      </c>
      <c r="D325" s="6" t="s">
        <v>1286</v>
      </c>
      <c r="E325" s="6" t="s">
        <v>406</v>
      </c>
      <c r="F325" s="6" t="s">
        <v>1287</v>
      </c>
      <c r="G325" s="6" t="s">
        <v>315</v>
      </c>
      <c r="H325" s="5" t="s">
        <v>256</v>
      </c>
      <c r="I325" s="5" t="s">
        <v>24</v>
      </c>
      <c r="J325" s="5" t="s">
        <v>250</v>
      </c>
      <c r="K325" s="6" t="s">
        <v>251</v>
      </c>
      <c r="L325" s="6" t="s">
        <v>84</v>
      </c>
      <c r="M325" s="6" t="s">
        <v>85</v>
      </c>
      <c r="N325" s="6" t="s">
        <v>252</v>
      </c>
      <c r="O325" s="12">
        <v>10</v>
      </c>
      <c r="P325" s="12">
        <v>42000</v>
      </c>
      <c r="Q325" s="14">
        <v>80</v>
      </c>
      <c r="R325" s="5">
        <v>18</v>
      </c>
      <c r="S325" s="4">
        <v>99119.999999999971</v>
      </c>
      <c r="T325" s="4" t="s">
        <v>294</v>
      </c>
      <c r="U325" s="3" t="s">
        <v>137</v>
      </c>
      <c r="V325" s="2" t="s">
        <v>138</v>
      </c>
    </row>
    <row r="326" spans="1:22" x14ac:dyDescent="0.35">
      <c r="A326" s="1" t="s">
        <v>1288</v>
      </c>
      <c r="B326" s="10">
        <v>45470</v>
      </c>
      <c r="C326" s="2" t="s">
        <v>1764</v>
      </c>
      <c r="D326" s="2" t="s">
        <v>1289</v>
      </c>
      <c r="E326" s="2" t="s">
        <v>425</v>
      </c>
      <c r="F326" s="2" t="s">
        <v>1290</v>
      </c>
      <c r="G326" s="2" t="s">
        <v>230</v>
      </c>
      <c r="H326" s="1" t="s">
        <v>231</v>
      </c>
      <c r="I326" s="1" t="s">
        <v>24</v>
      </c>
      <c r="J326" s="1" t="s">
        <v>250</v>
      </c>
      <c r="K326" s="2" t="s">
        <v>251</v>
      </c>
      <c r="L326" s="2" t="s">
        <v>84</v>
      </c>
      <c r="M326" s="2" t="s">
        <v>85</v>
      </c>
      <c r="N326" s="2" t="s">
        <v>252</v>
      </c>
      <c r="O326" s="12">
        <v>6</v>
      </c>
      <c r="P326" s="12">
        <v>42000</v>
      </c>
      <c r="Q326" s="13">
        <v>20</v>
      </c>
      <c r="R326" s="1">
        <v>18</v>
      </c>
      <c r="S326" s="4">
        <v>237888</v>
      </c>
      <c r="T326" s="4" t="s">
        <v>1793</v>
      </c>
      <c r="U326" s="3" t="s">
        <v>137</v>
      </c>
      <c r="V326" s="2" t="s">
        <v>95</v>
      </c>
    </row>
    <row r="327" spans="1:22" x14ac:dyDescent="0.35">
      <c r="A327" s="5" t="s">
        <v>1291</v>
      </c>
      <c r="B327" s="10">
        <v>45442</v>
      </c>
      <c r="C327" s="6" t="s">
        <v>1766</v>
      </c>
      <c r="D327" s="6" t="s">
        <v>1292</v>
      </c>
      <c r="E327" s="6" t="s">
        <v>289</v>
      </c>
      <c r="F327" s="6" t="s">
        <v>1293</v>
      </c>
      <c r="G327" s="6" t="s">
        <v>109</v>
      </c>
      <c r="H327" s="5" t="s">
        <v>48</v>
      </c>
      <c r="I327" s="5" t="s">
        <v>24</v>
      </c>
      <c r="J327" s="5" t="s">
        <v>250</v>
      </c>
      <c r="K327" s="6" t="s">
        <v>251</v>
      </c>
      <c r="L327" s="6" t="s">
        <v>51</v>
      </c>
      <c r="M327" s="6" t="s">
        <v>85</v>
      </c>
      <c r="N327" s="6" t="s">
        <v>252</v>
      </c>
      <c r="O327" s="12">
        <v>10</v>
      </c>
      <c r="P327" s="12">
        <v>42000</v>
      </c>
      <c r="Q327" s="14">
        <v>8</v>
      </c>
      <c r="R327" s="5">
        <v>18</v>
      </c>
      <c r="S327" s="4">
        <v>455952</v>
      </c>
      <c r="T327" s="4" t="s">
        <v>94</v>
      </c>
      <c r="U327" s="3" t="s">
        <v>30</v>
      </c>
      <c r="V327" s="2" t="s">
        <v>138</v>
      </c>
    </row>
    <row r="328" spans="1:22" x14ac:dyDescent="0.35">
      <c r="A328" s="1" t="s">
        <v>1294</v>
      </c>
      <c r="B328" s="10">
        <v>45338</v>
      </c>
      <c r="C328" s="2" t="s">
        <v>1779</v>
      </c>
      <c r="D328" s="2" t="s">
        <v>1295</v>
      </c>
      <c r="E328" s="2" t="s">
        <v>1296</v>
      </c>
      <c r="F328" s="2" t="s">
        <v>1297</v>
      </c>
      <c r="G328" s="2" t="s">
        <v>315</v>
      </c>
      <c r="H328" s="1" t="s">
        <v>256</v>
      </c>
      <c r="I328" s="1" t="s">
        <v>24</v>
      </c>
      <c r="J328" s="1" t="s">
        <v>158</v>
      </c>
      <c r="K328" s="2" t="s">
        <v>159</v>
      </c>
      <c r="L328" s="2" t="s">
        <v>62</v>
      </c>
      <c r="M328" s="2" t="s">
        <v>160</v>
      </c>
      <c r="N328" s="2" t="s">
        <v>161</v>
      </c>
      <c r="O328" s="12">
        <v>1</v>
      </c>
      <c r="P328" s="12">
        <v>2500</v>
      </c>
      <c r="Q328" s="13">
        <v>12</v>
      </c>
      <c r="R328" s="1">
        <v>5</v>
      </c>
      <c r="S328" s="4">
        <v>2310</v>
      </c>
      <c r="T328" s="4" t="s">
        <v>65</v>
      </c>
      <c r="U328" s="2" t="s">
        <v>30</v>
      </c>
      <c r="V328" s="2" t="s">
        <v>95</v>
      </c>
    </row>
    <row r="329" spans="1:22" x14ac:dyDescent="0.35">
      <c r="A329" s="5" t="s">
        <v>1298</v>
      </c>
      <c r="B329" s="10">
        <v>45462</v>
      </c>
      <c r="C329" s="6" t="s">
        <v>197</v>
      </c>
      <c r="D329" s="6" t="s">
        <v>1299</v>
      </c>
      <c r="E329" s="6" t="s">
        <v>531</v>
      </c>
      <c r="F329" s="6" t="s">
        <v>1300</v>
      </c>
      <c r="G329" s="6" t="s">
        <v>36</v>
      </c>
      <c r="H329" s="5" t="s">
        <v>37</v>
      </c>
      <c r="I329" s="5" t="s">
        <v>38</v>
      </c>
      <c r="J329" s="5" t="s">
        <v>242</v>
      </c>
      <c r="K329" s="6" t="s">
        <v>243</v>
      </c>
      <c r="L329" s="6" t="s">
        <v>84</v>
      </c>
      <c r="M329" s="6" t="s">
        <v>244</v>
      </c>
      <c r="N329" s="6" t="s">
        <v>245</v>
      </c>
      <c r="O329" s="12">
        <v>2</v>
      </c>
      <c r="P329" s="12">
        <v>3200</v>
      </c>
      <c r="Q329" s="14">
        <v>10</v>
      </c>
      <c r="R329" s="5">
        <v>18</v>
      </c>
      <c r="S329" s="4">
        <v>6796.7999999999993</v>
      </c>
      <c r="T329" s="4" t="s">
        <v>1793</v>
      </c>
      <c r="U329" s="6" t="s">
        <v>195</v>
      </c>
      <c r="V329" s="2" t="s">
        <v>95</v>
      </c>
    </row>
    <row r="330" spans="1:22" x14ac:dyDescent="0.35">
      <c r="A330" s="1" t="s">
        <v>1301</v>
      </c>
      <c r="B330" s="10">
        <v>45327</v>
      </c>
      <c r="C330" s="2" t="s">
        <v>177</v>
      </c>
      <c r="D330" s="2" t="s">
        <v>1302</v>
      </c>
      <c r="E330" s="2" t="s">
        <v>1303</v>
      </c>
      <c r="F330" s="2" t="s">
        <v>1304</v>
      </c>
      <c r="G330" s="2" t="s">
        <v>150</v>
      </c>
      <c r="H330" s="1" t="s">
        <v>93</v>
      </c>
      <c r="I330" s="1" t="s">
        <v>38</v>
      </c>
      <c r="J330" s="1" t="s">
        <v>669</v>
      </c>
      <c r="K330" s="2" t="s">
        <v>670</v>
      </c>
      <c r="L330" s="2" t="s">
        <v>84</v>
      </c>
      <c r="M330" s="2" t="s">
        <v>85</v>
      </c>
      <c r="N330" s="2" t="s">
        <v>671</v>
      </c>
      <c r="O330" s="12">
        <v>6</v>
      </c>
      <c r="P330" s="12">
        <v>38000</v>
      </c>
      <c r="Q330" s="13">
        <v>0</v>
      </c>
      <c r="R330" s="1">
        <v>18</v>
      </c>
      <c r="S330" s="4">
        <v>269040</v>
      </c>
      <c r="T330" s="4" t="s">
        <v>1793</v>
      </c>
      <c r="U330" s="3" t="s">
        <v>137</v>
      </c>
      <c r="V330" s="2" t="s">
        <v>138</v>
      </c>
    </row>
    <row r="331" spans="1:22" x14ac:dyDescent="0.35">
      <c r="A331" s="5" t="s">
        <v>1305</v>
      </c>
      <c r="B331" s="10">
        <v>45413</v>
      </c>
      <c r="C331" s="6" t="s">
        <v>262</v>
      </c>
      <c r="D331" s="6" t="s">
        <v>1306</v>
      </c>
      <c r="E331" s="6" t="s">
        <v>264</v>
      </c>
      <c r="F331" s="6" t="s">
        <v>1307</v>
      </c>
      <c r="G331" s="6" t="s">
        <v>80</v>
      </c>
      <c r="H331" s="5" t="s">
        <v>81</v>
      </c>
      <c r="I331" s="5" t="s">
        <v>24</v>
      </c>
      <c r="J331" s="5" t="s">
        <v>300</v>
      </c>
      <c r="K331" s="6" t="s">
        <v>301</v>
      </c>
      <c r="L331" s="6" t="s">
        <v>62</v>
      </c>
      <c r="M331" s="6" t="s">
        <v>302</v>
      </c>
      <c r="N331" s="6" t="s">
        <v>303</v>
      </c>
      <c r="O331" s="12">
        <v>1</v>
      </c>
      <c r="P331" s="12">
        <v>4800</v>
      </c>
      <c r="Q331" s="14">
        <v>25</v>
      </c>
      <c r="R331" s="5">
        <v>18</v>
      </c>
      <c r="S331" s="4">
        <v>4248</v>
      </c>
      <c r="T331" s="4" t="s">
        <v>94</v>
      </c>
      <c r="U331" s="3" t="s">
        <v>137</v>
      </c>
      <c r="V331" s="2" t="s">
        <v>138</v>
      </c>
    </row>
    <row r="332" spans="1:22" x14ac:dyDescent="0.35">
      <c r="A332" s="1" t="s">
        <v>1308</v>
      </c>
      <c r="B332" s="10">
        <v>45403</v>
      </c>
      <c r="C332" s="2" t="s">
        <v>1777</v>
      </c>
      <c r="D332" s="2" t="s">
        <v>1309</v>
      </c>
      <c r="E332" s="2" t="s">
        <v>953</v>
      </c>
      <c r="F332" s="2" t="s">
        <v>1310</v>
      </c>
      <c r="G332" s="2" t="s">
        <v>109</v>
      </c>
      <c r="H332" s="1" t="s">
        <v>48</v>
      </c>
      <c r="I332" s="1" t="s">
        <v>24</v>
      </c>
      <c r="J332" s="1" t="s">
        <v>172</v>
      </c>
      <c r="K332" s="2" t="s">
        <v>173</v>
      </c>
      <c r="L332" s="2" t="s">
        <v>84</v>
      </c>
      <c r="M332" s="2" t="s">
        <v>174</v>
      </c>
      <c r="N332" s="2" t="s">
        <v>175</v>
      </c>
      <c r="O332" s="12">
        <v>9</v>
      </c>
      <c r="P332" s="12">
        <v>299</v>
      </c>
      <c r="Q332" s="13">
        <v>25</v>
      </c>
      <c r="R332" s="1">
        <v>18</v>
      </c>
      <c r="S332" s="4">
        <v>2381.5349999999999</v>
      </c>
      <c r="T332" s="4" t="s">
        <v>54</v>
      </c>
      <c r="U332" s="2" t="s">
        <v>87</v>
      </c>
      <c r="V332" s="2" t="s">
        <v>138</v>
      </c>
    </row>
    <row r="333" spans="1:22" x14ac:dyDescent="0.35">
      <c r="A333" s="5" t="s">
        <v>1311</v>
      </c>
      <c r="B333" s="10">
        <v>45403</v>
      </c>
      <c r="C333" s="6" t="s">
        <v>959</v>
      </c>
      <c r="D333" s="6" t="s">
        <v>1312</v>
      </c>
      <c r="E333" s="6" t="s">
        <v>975</v>
      </c>
      <c r="F333" s="6" t="s">
        <v>1313</v>
      </c>
      <c r="G333" s="6" t="s">
        <v>150</v>
      </c>
      <c r="H333" s="5" t="s">
        <v>93</v>
      </c>
      <c r="I333" s="5" t="s">
        <v>38</v>
      </c>
      <c r="J333" s="5" t="s">
        <v>300</v>
      </c>
      <c r="K333" s="6" t="s">
        <v>301</v>
      </c>
      <c r="L333" s="6" t="s">
        <v>62</v>
      </c>
      <c r="M333" s="6" t="s">
        <v>302</v>
      </c>
      <c r="N333" s="6" t="s">
        <v>303</v>
      </c>
      <c r="O333" s="12">
        <v>2</v>
      </c>
      <c r="P333" s="12">
        <v>4800</v>
      </c>
      <c r="Q333" s="14">
        <v>5</v>
      </c>
      <c r="R333" s="5">
        <v>18</v>
      </c>
      <c r="S333" s="4">
        <v>10761.599999999999</v>
      </c>
      <c r="T333" s="4" t="s">
        <v>294</v>
      </c>
      <c r="U333" s="3" t="s">
        <v>30</v>
      </c>
      <c r="V333" s="2" t="s">
        <v>138</v>
      </c>
    </row>
    <row r="334" spans="1:22" x14ac:dyDescent="0.35">
      <c r="A334" s="1" t="s">
        <v>1314</v>
      </c>
      <c r="B334" s="10">
        <v>45319</v>
      </c>
      <c r="C334" s="2" t="s">
        <v>458</v>
      </c>
      <c r="D334" s="2" t="s">
        <v>1315</v>
      </c>
      <c r="E334" s="2" t="s">
        <v>1789</v>
      </c>
      <c r="F334" s="2" t="s">
        <v>1316</v>
      </c>
      <c r="G334" s="2" t="s">
        <v>92</v>
      </c>
      <c r="H334" s="1" t="s">
        <v>93</v>
      </c>
      <c r="I334" s="1" t="s">
        <v>38</v>
      </c>
      <c r="J334" s="1" t="s">
        <v>342</v>
      </c>
      <c r="K334" s="2" t="s">
        <v>343</v>
      </c>
      <c r="L334" s="2" t="s">
        <v>84</v>
      </c>
      <c r="M334" s="2" t="s">
        <v>244</v>
      </c>
      <c r="N334" s="2" t="s">
        <v>344</v>
      </c>
      <c r="O334" s="12">
        <v>1</v>
      </c>
      <c r="P334" s="12">
        <v>2200</v>
      </c>
      <c r="Q334" s="13">
        <v>20</v>
      </c>
      <c r="R334" s="1">
        <v>12</v>
      </c>
      <c r="S334" s="4">
        <v>1971.2000000000003</v>
      </c>
      <c r="T334" s="4" t="s">
        <v>65</v>
      </c>
      <c r="U334" s="3" t="s">
        <v>87</v>
      </c>
      <c r="V334" s="2" t="s">
        <v>95</v>
      </c>
    </row>
    <row r="335" spans="1:22" x14ac:dyDescent="0.35">
      <c r="A335" s="5" t="s">
        <v>1317</v>
      </c>
      <c r="B335" s="10">
        <v>45331</v>
      </c>
      <c r="C335" s="6" t="s">
        <v>1765</v>
      </c>
      <c r="D335" s="6" t="s">
        <v>1318</v>
      </c>
      <c r="E335" s="6" t="s">
        <v>652</v>
      </c>
      <c r="F335" s="6" t="s">
        <v>1319</v>
      </c>
      <c r="G335" s="6" t="s">
        <v>150</v>
      </c>
      <c r="H335" s="5" t="s">
        <v>93</v>
      </c>
      <c r="I335" s="5" t="s">
        <v>38</v>
      </c>
      <c r="J335" s="5" t="s">
        <v>276</v>
      </c>
      <c r="K335" s="6" t="s">
        <v>277</v>
      </c>
      <c r="L335" s="6" t="s">
        <v>51</v>
      </c>
      <c r="M335" s="6" t="s">
        <v>102</v>
      </c>
      <c r="N335" s="6" t="s">
        <v>278</v>
      </c>
      <c r="O335" s="12">
        <v>1</v>
      </c>
      <c r="P335" s="12">
        <v>1500</v>
      </c>
      <c r="Q335" s="14">
        <v>25</v>
      </c>
      <c r="R335" s="5">
        <v>18</v>
      </c>
      <c r="S335" s="4">
        <v>1327.5</v>
      </c>
      <c r="T335" s="4" t="s">
        <v>294</v>
      </c>
      <c r="U335" s="6" t="s">
        <v>137</v>
      </c>
      <c r="V335" s="2" t="s">
        <v>95</v>
      </c>
    </row>
    <row r="336" spans="1:22" x14ac:dyDescent="0.35">
      <c r="A336" s="1" t="s">
        <v>1320</v>
      </c>
      <c r="B336" s="10">
        <v>45316</v>
      </c>
      <c r="C336" s="2" t="s">
        <v>1778</v>
      </c>
      <c r="D336" s="2" t="s">
        <v>1321</v>
      </c>
      <c r="E336" s="2" t="s">
        <v>367</v>
      </c>
      <c r="F336" s="2" t="s">
        <v>1322</v>
      </c>
      <c r="G336" s="2" t="s">
        <v>150</v>
      </c>
      <c r="H336" s="1" t="s">
        <v>93</v>
      </c>
      <c r="I336" s="1" t="s">
        <v>38</v>
      </c>
      <c r="J336" s="1" t="s">
        <v>257</v>
      </c>
      <c r="K336" s="2" t="s">
        <v>258</v>
      </c>
      <c r="L336" s="2" t="s">
        <v>62</v>
      </c>
      <c r="M336" s="2" t="s">
        <v>259</v>
      </c>
      <c r="N336" s="2" t="s">
        <v>260</v>
      </c>
      <c r="O336" s="12">
        <v>9</v>
      </c>
      <c r="P336" s="12">
        <v>3500</v>
      </c>
      <c r="Q336" s="13">
        <v>20</v>
      </c>
      <c r="R336" s="1">
        <v>5</v>
      </c>
      <c r="S336" s="4">
        <v>26460</v>
      </c>
      <c r="T336" s="4" t="s">
        <v>294</v>
      </c>
      <c r="U336" s="3" t="s">
        <v>87</v>
      </c>
      <c r="V336" s="2" t="s">
        <v>138</v>
      </c>
    </row>
    <row r="337" spans="1:22" x14ac:dyDescent="0.35">
      <c r="A337" s="5" t="s">
        <v>1323</v>
      </c>
      <c r="B337" s="10">
        <v>45306</v>
      </c>
      <c r="C337" s="6" t="s">
        <v>1776</v>
      </c>
      <c r="D337" s="6" t="s">
        <v>1324</v>
      </c>
      <c r="E337" s="6" t="s">
        <v>1325</v>
      </c>
      <c r="F337" s="6" t="s">
        <v>1326</v>
      </c>
      <c r="G337" s="6" t="s">
        <v>237</v>
      </c>
      <c r="H337" s="5" t="s">
        <v>23</v>
      </c>
      <c r="I337" s="5" t="s">
        <v>24</v>
      </c>
      <c r="J337" s="5" t="s">
        <v>60</v>
      </c>
      <c r="K337" s="6" t="s">
        <v>61</v>
      </c>
      <c r="L337" s="6" t="s">
        <v>62</v>
      </c>
      <c r="M337" s="6" t="s">
        <v>63</v>
      </c>
      <c r="N337" s="6" t="s">
        <v>64</v>
      </c>
      <c r="O337" s="12">
        <v>4</v>
      </c>
      <c r="P337" s="12">
        <v>3500</v>
      </c>
      <c r="Q337" s="14">
        <v>5</v>
      </c>
      <c r="R337" s="5">
        <v>18</v>
      </c>
      <c r="S337" s="4">
        <v>15694</v>
      </c>
      <c r="T337" s="4" t="s">
        <v>294</v>
      </c>
      <c r="U337" s="3" t="s">
        <v>30</v>
      </c>
      <c r="V337" s="2" t="s">
        <v>95</v>
      </c>
    </row>
    <row r="338" spans="1:22" x14ac:dyDescent="0.35">
      <c r="A338" s="1" t="s">
        <v>1327</v>
      </c>
      <c r="B338" s="10">
        <v>45386</v>
      </c>
      <c r="C338" s="2" t="s">
        <v>32</v>
      </c>
      <c r="D338" s="2" t="s">
        <v>1328</v>
      </c>
      <c r="E338" s="2" t="s">
        <v>1329</v>
      </c>
      <c r="F338" s="2" t="s">
        <v>1330</v>
      </c>
      <c r="G338" s="2" t="s">
        <v>109</v>
      </c>
      <c r="H338" s="1" t="s">
        <v>48</v>
      </c>
      <c r="I338" s="1" t="s">
        <v>24</v>
      </c>
      <c r="J338" s="1" t="s">
        <v>276</v>
      </c>
      <c r="K338" s="2" t="s">
        <v>277</v>
      </c>
      <c r="L338" s="2" t="s">
        <v>51</v>
      </c>
      <c r="M338" s="2" t="s">
        <v>102</v>
      </c>
      <c r="N338" s="2" t="s">
        <v>278</v>
      </c>
      <c r="O338" s="12">
        <v>8</v>
      </c>
      <c r="P338" s="12">
        <v>1500</v>
      </c>
      <c r="Q338" s="13">
        <v>5</v>
      </c>
      <c r="R338" s="1">
        <v>18</v>
      </c>
      <c r="S338" s="4">
        <v>13452</v>
      </c>
      <c r="T338" s="4" t="s">
        <v>1794</v>
      </c>
      <c r="U338" s="3" t="s">
        <v>30</v>
      </c>
      <c r="V338" s="2" t="s">
        <v>95</v>
      </c>
    </row>
    <row r="339" spans="1:22" x14ac:dyDescent="0.35">
      <c r="A339" s="5" t="s">
        <v>1331</v>
      </c>
      <c r="B339" s="10">
        <v>45308</v>
      </c>
      <c r="C339" s="6" t="s">
        <v>1770</v>
      </c>
      <c r="D339" s="6" t="s">
        <v>1332</v>
      </c>
      <c r="E339" s="6" t="s">
        <v>123</v>
      </c>
      <c r="F339" s="6" t="s">
        <v>1333</v>
      </c>
      <c r="G339" s="6" t="s">
        <v>550</v>
      </c>
      <c r="H339" s="5" t="s">
        <v>37</v>
      </c>
      <c r="I339" s="5" t="s">
        <v>38</v>
      </c>
      <c r="J339" s="5" t="s">
        <v>133</v>
      </c>
      <c r="K339" s="6" t="s">
        <v>134</v>
      </c>
      <c r="L339" s="6" t="s">
        <v>51</v>
      </c>
      <c r="M339" s="6" t="s">
        <v>135</v>
      </c>
      <c r="N339" s="6" t="s">
        <v>136</v>
      </c>
      <c r="O339" s="12">
        <v>7</v>
      </c>
      <c r="P339" s="12">
        <v>55000</v>
      </c>
      <c r="Q339" s="14">
        <v>8</v>
      </c>
      <c r="R339" s="5">
        <v>18</v>
      </c>
      <c r="S339" s="4">
        <v>417956</v>
      </c>
      <c r="T339" s="4" t="s">
        <v>94</v>
      </c>
      <c r="U339" s="3" t="s">
        <v>87</v>
      </c>
      <c r="V339" s="2" t="s">
        <v>95</v>
      </c>
    </row>
    <row r="340" spans="1:22" x14ac:dyDescent="0.35">
      <c r="A340" s="1" t="s">
        <v>1334</v>
      </c>
      <c r="B340" s="10">
        <v>45368</v>
      </c>
      <c r="C340" s="2" t="s">
        <v>1766</v>
      </c>
      <c r="D340" s="2" t="s">
        <v>1335</v>
      </c>
      <c r="E340" s="2" t="s">
        <v>213</v>
      </c>
      <c r="F340" s="2" t="s">
        <v>1336</v>
      </c>
      <c r="G340" s="2" t="s">
        <v>349</v>
      </c>
      <c r="H340" s="1" t="s">
        <v>209</v>
      </c>
      <c r="I340" s="1" t="s">
        <v>38</v>
      </c>
      <c r="J340" s="1" t="s">
        <v>669</v>
      </c>
      <c r="K340" s="2" t="s">
        <v>670</v>
      </c>
      <c r="L340" s="2" t="s">
        <v>84</v>
      </c>
      <c r="M340" s="2" t="s">
        <v>85</v>
      </c>
      <c r="N340" s="2" t="s">
        <v>671</v>
      </c>
      <c r="O340" s="12">
        <v>9</v>
      </c>
      <c r="P340" s="12">
        <v>38000</v>
      </c>
      <c r="Q340" s="13">
        <v>12</v>
      </c>
      <c r="R340" s="1">
        <v>18</v>
      </c>
      <c r="S340" s="4">
        <v>355132.8</v>
      </c>
      <c r="T340" s="4" t="s">
        <v>54</v>
      </c>
      <c r="U340" s="2" t="s">
        <v>137</v>
      </c>
      <c r="V340" s="2" t="s">
        <v>95</v>
      </c>
    </row>
    <row r="341" spans="1:22" x14ac:dyDescent="0.35">
      <c r="A341" s="5" t="s">
        <v>1337</v>
      </c>
      <c r="B341" s="10">
        <v>45347</v>
      </c>
      <c r="C341" s="6" t="s">
        <v>537</v>
      </c>
      <c r="D341" s="6" t="s">
        <v>1338</v>
      </c>
      <c r="E341" s="6" t="s">
        <v>870</v>
      </c>
      <c r="F341" s="6" t="s">
        <v>1339</v>
      </c>
      <c r="G341" s="6" t="s">
        <v>315</v>
      </c>
      <c r="H341" s="5" t="s">
        <v>256</v>
      </c>
      <c r="I341" s="5" t="s">
        <v>24</v>
      </c>
      <c r="J341" s="5" t="s">
        <v>172</v>
      </c>
      <c r="K341" s="6" t="s">
        <v>173</v>
      </c>
      <c r="L341" s="6" t="s">
        <v>84</v>
      </c>
      <c r="M341" s="6" t="s">
        <v>174</v>
      </c>
      <c r="N341" s="6" t="s">
        <v>175</v>
      </c>
      <c r="O341" s="12">
        <v>9</v>
      </c>
      <c r="P341" s="12">
        <v>299</v>
      </c>
      <c r="Q341" s="14">
        <v>10</v>
      </c>
      <c r="R341" s="5">
        <v>18</v>
      </c>
      <c r="S341" s="4">
        <v>2857.8420000000001</v>
      </c>
      <c r="T341" s="4" t="s">
        <v>65</v>
      </c>
      <c r="U341" s="3" t="s">
        <v>116</v>
      </c>
      <c r="V341" s="2" t="s">
        <v>138</v>
      </c>
    </row>
    <row r="342" spans="1:22" x14ac:dyDescent="0.35">
      <c r="A342" s="1" t="s">
        <v>1340</v>
      </c>
      <c r="B342" s="10">
        <v>45399</v>
      </c>
      <c r="C342" s="2" t="s">
        <v>1772</v>
      </c>
      <c r="D342" s="2" t="s">
        <v>1341</v>
      </c>
      <c r="E342" s="2" t="s">
        <v>382</v>
      </c>
      <c r="F342" s="2" t="s">
        <v>1342</v>
      </c>
      <c r="G342" s="2" t="s">
        <v>349</v>
      </c>
      <c r="H342" s="1" t="s">
        <v>209</v>
      </c>
      <c r="I342" s="1" t="s">
        <v>210</v>
      </c>
      <c r="J342" s="1" t="s">
        <v>354</v>
      </c>
      <c r="K342" s="2" t="s">
        <v>355</v>
      </c>
      <c r="L342" s="2" t="s">
        <v>62</v>
      </c>
      <c r="M342" s="2" t="s">
        <v>356</v>
      </c>
      <c r="N342" s="2" t="s">
        <v>357</v>
      </c>
      <c r="O342" s="12">
        <v>4</v>
      </c>
      <c r="P342" s="12">
        <v>4500</v>
      </c>
      <c r="Q342" s="13">
        <v>10</v>
      </c>
      <c r="R342" s="1">
        <v>5</v>
      </c>
      <c r="S342" s="4">
        <v>17010</v>
      </c>
      <c r="T342" s="4" t="s">
        <v>94</v>
      </c>
      <c r="U342" s="3" t="s">
        <v>116</v>
      </c>
      <c r="V342" s="2" t="s">
        <v>95</v>
      </c>
    </row>
    <row r="343" spans="1:22" x14ac:dyDescent="0.35">
      <c r="A343" s="5" t="s">
        <v>1343</v>
      </c>
      <c r="B343" s="10">
        <v>45426</v>
      </c>
      <c r="C343" s="6" t="s">
        <v>346</v>
      </c>
      <c r="D343" s="6" t="s">
        <v>1344</v>
      </c>
      <c r="E343" s="6" t="s">
        <v>348</v>
      </c>
      <c r="F343" s="6" t="s">
        <v>1345</v>
      </c>
      <c r="G343" s="6" t="s">
        <v>36</v>
      </c>
      <c r="H343" s="5" t="s">
        <v>37</v>
      </c>
      <c r="I343" s="5" t="s">
        <v>38</v>
      </c>
      <c r="J343" s="5" t="s">
        <v>342</v>
      </c>
      <c r="K343" s="6" t="s">
        <v>343</v>
      </c>
      <c r="L343" s="6" t="s">
        <v>84</v>
      </c>
      <c r="M343" s="6" t="s">
        <v>244</v>
      </c>
      <c r="N343" s="6" t="s">
        <v>344</v>
      </c>
      <c r="O343" s="12">
        <v>6</v>
      </c>
      <c r="P343" s="12">
        <v>2200</v>
      </c>
      <c r="Q343" s="14">
        <v>5</v>
      </c>
      <c r="R343" s="5">
        <v>12</v>
      </c>
      <c r="S343" s="4">
        <v>14044.800000000001</v>
      </c>
      <c r="T343" s="4" t="s">
        <v>94</v>
      </c>
      <c r="U343" s="6" t="s">
        <v>87</v>
      </c>
      <c r="V343" s="2" t="s">
        <v>95</v>
      </c>
    </row>
    <row r="344" spans="1:22" x14ac:dyDescent="0.35">
      <c r="A344" s="1" t="s">
        <v>1346</v>
      </c>
      <c r="B344" s="10">
        <v>45328</v>
      </c>
      <c r="C344" s="2" t="s">
        <v>233</v>
      </c>
      <c r="D344" s="2" t="s">
        <v>1347</v>
      </c>
      <c r="E344" s="2" t="s">
        <v>418</v>
      </c>
      <c r="F344" s="2" t="s">
        <v>1348</v>
      </c>
      <c r="G344" s="2" t="s">
        <v>315</v>
      </c>
      <c r="H344" s="1" t="s">
        <v>256</v>
      </c>
      <c r="I344" s="1" t="s">
        <v>24</v>
      </c>
      <c r="J344" s="1" t="s">
        <v>342</v>
      </c>
      <c r="K344" s="2" t="s">
        <v>343</v>
      </c>
      <c r="L344" s="2" t="s">
        <v>84</v>
      </c>
      <c r="M344" s="2" t="s">
        <v>244</v>
      </c>
      <c r="N344" s="2" t="s">
        <v>344</v>
      </c>
      <c r="O344" s="12">
        <v>6</v>
      </c>
      <c r="P344" s="12">
        <v>2200</v>
      </c>
      <c r="Q344" s="13">
        <v>20</v>
      </c>
      <c r="R344" s="1">
        <v>12</v>
      </c>
      <c r="S344" s="4">
        <v>11827.2</v>
      </c>
      <c r="T344" s="4" t="s">
        <v>65</v>
      </c>
      <c r="U344" s="3" t="s">
        <v>30</v>
      </c>
      <c r="V344" s="2" t="s">
        <v>95</v>
      </c>
    </row>
    <row r="345" spans="1:22" x14ac:dyDescent="0.35">
      <c r="A345" s="5" t="s">
        <v>1349</v>
      </c>
      <c r="B345" s="10">
        <v>45454</v>
      </c>
      <c r="C345" s="6" t="s">
        <v>262</v>
      </c>
      <c r="D345" s="6" t="s">
        <v>1350</v>
      </c>
      <c r="E345" s="6" t="s">
        <v>451</v>
      </c>
      <c r="F345" s="6" t="s">
        <v>1351</v>
      </c>
      <c r="G345" s="6" t="s">
        <v>349</v>
      </c>
      <c r="H345" s="5" t="s">
        <v>209</v>
      </c>
      <c r="I345" s="5" t="s">
        <v>210</v>
      </c>
      <c r="J345" s="5" t="s">
        <v>49</v>
      </c>
      <c r="K345" s="6" t="s">
        <v>50</v>
      </c>
      <c r="L345" s="6" t="s">
        <v>51</v>
      </c>
      <c r="M345" s="6" t="s">
        <v>52</v>
      </c>
      <c r="N345" s="6" t="s">
        <v>53</v>
      </c>
      <c r="O345" s="12">
        <v>5</v>
      </c>
      <c r="P345" s="12">
        <v>28000</v>
      </c>
      <c r="Q345" s="14">
        <v>10</v>
      </c>
      <c r="R345" s="5">
        <v>18</v>
      </c>
      <c r="S345" s="4">
        <v>148680</v>
      </c>
      <c r="T345" s="4" t="s">
        <v>294</v>
      </c>
      <c r="U345" s="3" t="s">
        <v>137</v>
      </c>
      <c r="V345" s="2" t="s">
        <v>138</v>
      </c>
    </row>
    <row r="346" spans="1:22" x14ac:dyDescent="0.35">
      <c r="A346" s="1" t="s">
        <v>1352</v>
      </c>
      <c r="B346" s="10">
        <v>45380</v>
      </c>
      <c r="C346" s="2" t="s">
        <v>330</v>
      </c>
      <c r="D346" s="2" t="s">
        <v>1353</v>
      </c>
      <c r="E346" s="2" t="s">
        <v>481</v>
      </c>
      <c r="F346" s="2" t="s">
        <v>1354</v>
      </c>
      <c r="G346" s="2" t="s">
        <v>114</v>
      </c>
      <c r="H346" s="1" t="s">
        <v>115</v>
      </c>
      <c r="I346" s="1" t="s">
        <v>71</v>
      </c>
      <c r="J346" s="1" t="s">
        <v>434</v>
      </c>
      <c r="K346" s="2" t="s">
        <v>1790</v>
      </c>
      <c r="L346" s="2" t="s">
        <v>62</v>
      </c>
      <c r="M346" s="2" t="s">
        <v>160</v>
      </c>
      <c r="N346" s="2" t="s">
        <v>436</v>
      </c>
      <c r="O346" s="12">
        <v>3</v>
      </c>
      <c r="P346" s="12">
        <v>1200</v>
      </c>
      <c r="Q346" s="13">
        <v>5</v>
      </c>
      <c r="R346" s="1">
        <v>5</v>
      </c>
      <c r="S346" s="4">
        <v>3591</v>
      </c>
      <c r="T346" s="4" t="s">
        <v>1793</v>
      </c>
      <c r="U346" s="3" t="s">
        <v>137</v>
      </c>
      <c r="V346" s="2" t="s">
        <v>138</v>
      </c>
    </row>
    <row r="347" spans="1:22" x14ac:dyDescent="0.35">
      <c r="A347" s="5" t="s">
        <v>1355</v>
      </c>
      <c r="B347" s="10">
        <v>45367</v>
      </c>
      <c r="C347" s="6" t="s">
        <v>1783</v>
      </c>
      <c r="D347" s="6" t="s">
        <v>1356</v>
      </c>
      <c r="E347" s="6" t="s">
        <v>510</v>
      </c>
      <c r="F347" s="6" t="s">
        <v>1357</v>
      </c>
      <c r="G347" s="6" t="s">
        <v>70</v>
      </c>
      <c r="H347" s="5" t="s">
        <v>70</v>
      </c>
      <c r="I347" s="5" t="s">
        <v>71</v>
      </c>
      <c r="J347" s="5" t="s">
        <v>250</v>
      </c>
      <c r="K347" s="6" t="s">
        <v>251</v>
      </c>
      <c r="L347" s="6" t="s">
        <v>84</v>
      </c>
      <c r="M347" s="6" t="s">
        <v>85</v>
      </c>
      <c r="N347" s="6" t="s">
        <v>252</v>
      </c>
      <c r="O347" s="12">
        <v>7</v>
      </c>
      <c r="P347" s="12">
        <v>42000</v>
      </c>
      <c r="Q347" s="14">
        <v>10</v>
      </c>
      <c r="R347" s="5">
        <v>18</v>
      </c>
      <c r="S347" s="4">
        <v>312228</v>
      </c>
      <c r="T347" s="4" t="s">
        <v>1794</v>
      </c>
      <c r="U347" s="6" t="s">
        <v>195</v>
      </c>
      <c r="V347" s="2" t="s">
        <v>95</v>
      </c>
    </row>
    <row r="348" spans="1:22" x14ac:dyDescent="0.35">
      <c r="A348" s="1" t="s">
        <v>1358</v>
      </c>
      <c r="B348" s="10">
        <v>45323</v>
      </c>
      <c r="C348" s="2" t="s">
        <v>1763</v>
      </c>
      <c r="D348" s="2" t="s">
        <v>1359</v>
      </c>
      <c r="E348" s="2" t="s">
        <v>352</v>
      </c>
      <c r="F348" s="2" t="s">
        <v>1360</v>
      </c>
      <c r="G348" s="2" t="s">
        <v>150</v>
      </c>
      <c r="H348" s="1" t="s">
        <v>93</v>
      </c>
      <c r="I348" s="1" t="s">
        <v>38</v>
      </c>
      <c r="J348" s="1" t="s">
        <v>72</v>
      </c>
      <c r="K348" s="2" t="s">
        <v>73</v>
      </c>
      <c r="L348" s="2" t="s">
        <v>51</v>
      </c>
      <c r="M348" s="2" t="s">
        <v>52</v>
      </c>
      <c r="N348" s="2" t="s">
        <v>74</v>
      </c>
      <c r="O348" s="12">
        <v>1</v>
      </c>
      <c r="P348" s="12">
        <v>14000</v>
      </c>
      <c r="Q348" s="13">
        <v>80</v>
      </c>
      <c r="R348" s="1">
        <v>18</v>
      </c>
      <c r="S348" s="4">
        <v>3303.9999999999991</v>
      </c>
      <c r="T348" s="4" t="s">
        <v>94</v>
      </c>
      <c r="U348" s="2" t="s">
        <v>116</v>
      </c>
      <c r="V348" s="2" t="s">
        <v>138</v>
      </c>
    </row>
    <row r="349" spans="1:22" x14ac:dyDescent="0.35">
      <c r="A349" s="5" t="s">
        <v>1361</v>
      </c>
      <c r="B349" s="10">
        <v>45333</v>
      </c>
      <c r="C349" s="6" t="s">
        <v>1776</v>
      </c>
      <c r="D349" s="6" t="s">
        <v>1362</v>
      </c>
      <c r="E349" s="6" t="s">
        <v>926</v>
      </c>
      <c r="F349" s="6" t="s">
        <v>1363</v>
      </c>
      <c r="G349" s="6" t="s">
        <v>80</v>
      </c>
      <c r="H349" s="5" t="s">
        <v>81</v>
      </c>
      <c r="I349" s="5" t="s">
        <v>24</v>
      </c>
      <c r="J349" s="5" t="s">
        <v>250</v>
      </c>
      <c r="K349" s="6" t="s">
        <v>251</v>
      </c>
      <c r="L349" s="6" t="s">
        <v>84</v>
      </c>
      <c r="M349" s="6" t="s">
        <v>85</v>
      </c>
      <c r="N349" s="6" t="s">
        <v>252</v>
      </c>
      <c r="O349" s="12">
        <v>8</v>
      </c>
      <c r="P349" s="12">
        <v>42000</v>
      </c>
      <c r="Q349" s="14">
        <v>10</v>
      </c>
      <c r="R349" s="5">
        <v>18</v>
      </c>
      <c r="S349" s="4">
        <v>356832</v>
      </c>
      <c r="T349" s="4" t="s">
        <v>294</v>
      </c>
      <c r="U349" s="3" t="s">
        <v>137</v>
      </c>
      <c r="V349" s="2" t="s">
        <v>95</v>
      </c>
    </row>
    <row r="350" spans="1:22" x14ac:dyDescent="0.35">
      <c r="A350" s="1" t="s">
        <v>1364</v>
      </c>
      <c r="B350" s="10">
        <v>45444</v>
      </c>
      <c r="C350" s="2" t="s">
        <v>105</v>
      </c>
      <c r="D350" s="2" t="s">
        <v>1365</v>
      </c>
      <c r="E350" s="2" t="s">
        <v>506</v>
      </c>
      <c r="F350" s="2" t="s">
        <v>1366</v>
      </c>
      <c r="G350" s="2" t="s">
        <v>166</v>
      </c>
      <c r="H350" s="1" t="s">
        <v>167</v>
      </c>
      <c r="I350" s="1" t="s">
        <v>71</v>
      </c>
      <c r="J350" s="1" t="s">
        <v>39</v>
      </c>
      <c r="K350" s="2" t="s">
        <v>40</v>
      </c>
      <c r="L350" s="2" t="s">
        <v>41</v>
      </c>
      <c r="M350" s="2" t="s">
        <v>42</v>
      </c>
      <c r="N350" s="2" t="s">
        <v>43</v>
      </c>
      <c r="O350" s="12">
        <v>7</v>
      </c>
      <c r="P350" s="12">
        <v>25000</v>
      </c>
      <c r="Q350" s="13">
        <v>15</v>
      </c>
      <c r="R350" s="1">
        <v>3</v>
      </c>
      <c r="S350" s="4">
        <v>153212.5</v>
      </c>
      <c r="T350" s="4" t="s">
        <v>54</v>
      </c>
      <c r="U350" s="3" t="s">
        <v>137</v>
      </c>
      <c r="V350" s="2" t="s">
        <v>138</v>
      </c>
    </row>
    <row r="351" spans="1:22" x14ac:dyDescent="0.35">
      <c r="A351" s="5" t="s">
        <v>1367</v>
      </c>
      <c r="B351" s="10">
        <v>45350</v>
      </c>
      <c r="C351" s="6" t="s">
        <v>262</v>
      </c>
      <c r="D351" s="6" t="s">
        <v>1368</v>
      </c>
      <c r="E351" s="6" t="s">
        <v>306</v>
      </c>
      <c r="F351" s="6" t="s">
        <v>1369</v>
      </c>
      <c r="G351" s="6" t="s">
        <v>349</v>
      </c>
      <c r="H351" s="5" t="s">
        <v>209</v>
      </c>
      <c r="I351" s="5" t="s">
        <v>210</v>
      </c>
      <c r="J351" s="5" t="s">
        <v>215</v>
      </c>
      <c r="K351" s="6" t="s">
        <v>216</v>
      </c>
      <c r="L351" s="6" t="s">
        <v>27</v>
      </c>
      <c r="M351" s="6" t="s">
        <v>127</v>
      </c>
      <c r="N351" s="6" t="s">
        <v>217</v>
      </c>
      <c r="O351" s="12">
        <v>4</v>
      </c>
      <c r="P351" s="12">
        <v>40</v>
      </c>
      <c r="Q351" s="14">
        <v>5</v>
      </c>
      <c r="R351" s="5">
        <v>5</v>
      </c>
      <c r="S351" s="4">
        <v>159.6</v>
      </c>
      <c r="T351" s="4" t="s">
        <v>294</v>
      </c>
      <c r="U351" s="3" t="s">
        <v>30</v>
      </c>
      <c r="V351" s="2" t="s">
        <v>95</v>
      </c>
    </row>
    <row r="352" spans="1:22" x14ac:dyDescent="0.35">
      <c r="A352" s="1" t="s">
        <v>1370</v>
      </c>
      <c r="B352" s="10">
        <v>45373</v>
      </c>
      <c r="C352" s="2" t="s">
        <v>1767</v>
      </c>
      <c r="D352" s="2" t="s">
        <v>1371</v>
      </c>
      <c r="E352" s="2" t="s">
        <v>678</v>
      </c>
      <c r="F352" s="2" t="s">
        <v>1372</v>
      </c>
      <c r="G352" s="2" t="s">
        <v>237</v>
      </c>
      <c r="H352" s="1" t="s">
        <v>23</v>
      </c>
      <c r="I352" s="1" t="s">
        <v>24</v>
      </c>
      <c r="J352" s="1" t="s">
        <v>354</v>
      </c>
      <c r="K352" s="2" t="s">
        <v>355</v>
      </c>
      <c r="L352" s="2" t="s">
        <v>62</v>
      </c>
      <c r="M352" s="2" t="s">
        <v>356</v>
      </c>
      <c r="N352" s="2" t="s">
        <v>357</v>
      </c>
      <c r="O352" s="12">
        <v>4</v>
      </c>
      <c r="P352" s="12">
        <v>4500</v>
      </c>
      <c r="Q352" s="13">
        <v>0</v>
      </c>
      <c r="R352" s="1">
        <v>5</v>
      </c>
      <c r="S352" s="4">
        <v>18900</v>
      </c>
      <c r="T352" s="4" t="s">
        <v>1793</v>
      </c>
      <c r="U352" s="3" t="s">
        <v>137</v>
      </c>
      <c r="V352" s="2" t="s">
        <v>95</v>
      </c>
    </row>
    <row r="353" spans="1:22" x14ac:dyDescent="0.35">
      <c r="A353" s="5" t="s">
        <v>1373</v>
      </c>
      <c r="B353" s="10">
        <v>45352</v>
      </c>
      <c r="C353" s="6" t="s">
        <v>233</v>
      </c>
      <c r="D353" s="6" t="s">
        <v>1374</v>
      </c>
      <c r="E353" s="6" t="s">
        <v>235</v>
      </c>
      <c r="F353" s="6" t="s">
        <v>1375</v>
      </c>
      <c r="G353" s="6" t="s">
        <v>150</v>
      </c>
      <c r="H353" s="5" t="s">
        <v>93</v>
      </c>
      <c r="I353" s="5" t="s">
        <v>38</v>
      </c>
      <c r="J353" s="5" t="s">
        <v>72</v>
      </c>
      <c r="K353" s="6" t="s">
        <v>73</v>
      </c>
      <c r="L353" s="6" t="s">
        <v>51</v>
      </c>
      <c r="M353" s="6" t="s">
        <v>52</v>
      </c>
      <c r="N353" s="6" t="s">
        <v>74</v>
      </c>
      <c r="O353" s="12">
        <v>5</v>
      </c>
      <c r="P353" s="12">
        <v>14000</v>
      </c>
      <c r="Q353" s="14">
        <v>8</v>
      </c>
      <c r="R353" s="5">
        <v>18</v>
      </c>
      <c r="S353" s="4">
        <v>75992</v>
      </c>
      <c r="T353" s="4" t="s">
        <v>294</v>
      </c>
      <c r="U353" s="3" t="s">
        <v>87</v>
      </c>
      <c r="V353" s="2" t="s">
        <v>95</v>
      </c>
    </row>
    <row r="354" spans="1:22" x14ac:dyDescent="0.35">
      <c r="A354" s="1" t="s">
        <v>1376</v>
      </c>
      <c r="B354" s="10">
        <v>45385</v>
      </c>
      <c r="C354" s="2" t="s">
        <v>1766</v>
      </c>
      <c r="D354" s="2" t="s">
        <v>1377</v>
      </c>
      <c r="E354" s="2" t="s">
        <v>289</v>
      </c>
      <c r="F354" s="2" t="s">
        <v>1378</v>
      </c>
      <c r="G354" s="2" t="s">
        <v>109</v>
      </c>
      <c r="H354" s="1" t="s">
        <v>48</v>
      </c>
      <c r="I354" s="1" t="s">
        <v>675</v>
      </c>
      <c r="J354" s="1" t="s">
        <v>158</v>
      </c>
      <c r="K354" s="2" t="s">
        <v>159</v>
      </c>
      <c r="L354" s="2" t="s">
        <v>62</v>
      </c>
      <c r="M354" s="2" t="s">
        <v>160</v>
      </c>
      <c r="N354" s="2" t="s">
        <v>161</v>
      </c>
      <c r="O354" s="12">
        <v>6</v>
      </c>
      <c r="P354" s="12">
        <v>2500</v>
      </c>
      <c r="Q354" s="13">
        <v>8</v>
      </c>
      <c r="R354" s="1">
        <v>5</v>
      </c>
      <c r="S354" s="4">
        <v>14490</v>
      </c>
      <c r="T354" s="4" t="s">
        <v>1794</v>
      </c>
      <c r="U354" s="3" t="s">
        <v>87</v>
      </c>
      <c r="V354" s="2" t="s">
        <v>95</v>
      </c>
    </row>
    <row r="355" spans="1:22" x14ac:dyDescent="0.35">
      <c r="A355" s="5" t="s">
        <v>1379</v>
      </c>
      <c r="B355" s="10">
        <v>45390</v>
      </c>
      <c r="C355" s="6" t="s">
        <v>1777</v>
      </c>
      <c r="D355" s="6" t="s">
        <v>1380</v>
      </c>
      <c r="E355" s="6" t="s">
        <v>953</v>
      </c>
      <c r="F355" s="6" t="s">
        <v>1381</v>
      </c>
      <c r="G355" s="6" t="s">
        <v>70</v>
      </c>
      <c r="H355" s="5" t="s">
        <v>70</v>
      </c>
      <c r="I355" s="5" t="s">
        <v>71</v>
      </c>
      <c r="J355" s="5" t="s">
        <v>250</v>
      </c>
      <c r="K355" s="6" t="s">
        <v>251</v>
      </c>
      <c r="L355" s="6" t="s">
        <v>84</v>
      </c>
      <c r="M355" s="6" t="s">
        <v>85</v>
      </c>
      <c r="N355" s="6" t="s">
        <v>252</v>
      </c>
      <c r="O355" s="12">
        <v>10</v>
      </c>
      <c r="P355" s="12">
        <v>42000</v>
      </c>
      <c r="Q355" s="14">
        <v>25</v>
      </c>
      <c r="R355" s="5">
        <v>18</v>
      </c>
      <c r="S355" s="4">
        <v>371700</v>
      </c>
      <c r="T355" s="4" t="s">
        <v>65</v>
      </c>
      <c r="U355" s="3" t="s">
        <v>137</v>
      </c>
      <c r="V355" s="2" t="s">
        <v>138</v>
      </c>
    </row>
    <row r="356" spans="1:22" x14ac:dyDescent="0.35">
      <c r="A356" s="1" t="s">
        <v>1382</v>
      </c>
      <c r="B356" s="10">
        <v>45305</v>
      </c>
      <c r="C356" s="2" t="s">
        <v>458</v>
      </c>
      <c r="D356" s="2" t="s">
        <v>1383</v>
      </c>
      <c r="E356" s="2" t="s">
        <v>1022</v>
      </c>
      <c r="F356" s="2" t="s">
        <v>1384</v>
      </c>
      <c r="G356" s="2" t="s">
        <v>237</v>
      </c>
      <c r="H356" s="1" t="s">
        <v>23</v>
      </c>
      <c r="I356" s="1" t="s">
        <v>24</v>
      </c>
      <c r="J356" s="1" t="s">
        <v>215</v>
      </c>
      <c r="K356" s="2" t="s">
        <v>216</v>
      </c>
      <c r="L356" s="2" t="s">
        <v>27</v>
      </c>
      <c r="M356" s="2" t="s">
        <v>127</v>
      </c>
      <c r="N356" s="2" t="s">
        <v>217</v>
      </c>
      <c r="O356" s="12">
        <v>4</v>
      </c>
      <c r="P356" s="12">
        <v>40</v>
      </c>
      <c r="Q356" s="13">
        <v>10</v>
      </c>
      <c r="R356" s="1">
        <v>5</v>
      </c>
      <c r="S356" s="4">
        <v>151.20000000000002</v>
      </c>
      <c r="T356" s="4" t="s">
        <v>1794</v>
      </c>
      <c r="U356" s="2" t="s">
        <v>116</v>
      </c>
      <c r="V356" s="2" t="s">
        <v>138</v>
      </c>
    </row>
    <row r="357" spans="1:22" x14ac:dyDescent="0.35">
      <c r="A357" s="5" t="s">
        <v>1385</v>
      </c>
      <c r="B357" s="10">
        <v>45468</v>
      </c>
      <c r="C357" s="6" t="s">
        <v>1766</v>
      </c>
      <c r="D357" s="6" t="s">
        <v>1386</v>
      </c>
      <c r="E357" s="6" t="s">
        <v>68</v>
      </c>
      <c r="F357" s="6" t="s">
        <v>1387</v>
      </c>
      <c r="G357" s="6" t="s">
        <v>80</v>
      </c>
      <c r="H357" s="5" t="s">
        <v>81</v>
      </c>
      <c r="I357" s="5" t="s">
        <v>24</v>
      </c>
      <c r="J357" s="5" t="s">
        <v>172</v>
      </c>
      <c r="K357" s="6" t="s">
        <v>173</v>
      </c>
      <c r="L357" s="6" t="s">
        <v>84</v>
      </c>
      <c r="M357" s="6" t="s">
        <v>174</v>
      </c>
      <c r="N357" s="6" t="s">
        <v>175</v>
      </c>
      <c r="O357" s="12">
        <v>5</v>
      </c>
      <c r="P357" s="12">
        <v>299</v>
      </c>
      <c r="Q357" s="14">
        <v>10</v>
      </c>
      <c r="R357" s="5">
        <v>18</v>
      </c>
      <c r="S357" s="4">
        <v>1587.6899999999998</v>
      </c>
      <c r="T357" s="4" t="s">
        <v>1793</v>
      </c>
      <c r="U357" s="3" t="s">
        <v>87</v>
      </c>
      <c r="V357" s="2" t="s">
        <v>138</v>
      </c>
    </row>
    <row r="358" spans="1:22" x14ac:dyDescent="0.35">
      <c r="A358" s="1" t="s">
        <v>1388</v>
      </c>
      <c r="B358" s="10">
        <v>45338</v>
      </c>
      <c r="C358" s="2" t="s">
        <v>1785</v>
      </c>
      <c r="D358" s="2" t="s">
        <v>1389</v>
      </c>
      <c r="E358" s="2" t="s">
        <v>34</v>
      </c>
      <c r="F358" s="2" t="s">
        <v>1390</v>
      </c>
      <c r="G358" s="2" t="s">
        <v>237</v>
      </c>
      <c r="H358" s="1" t="s">
        <v>23</v>
      </c>
      <c r="I358" s="1" t="s">
        <v>24</v>
      </c>
      <c r="J358" s="1" t="s">
        <v>133</v>
      </c>
      <c r="K358" s="2" t="s">
        <v>134</v>
      </c>
      <c r="L358" s="2" t="s">
        <v>51</v>
      </c>
      <c r="M358" s="2" t="s">
        <v>135</v>
      </c>
      <c r="N358" s="2" t="s">
        <v>136</v>
      </c>
      <c r="O358" s="12">
        <v>8</v>
      </c>
      <c r="P358" s="12">
        <v>55000</v>
      </c>
      <c r="Q358" s="13">
        <v>5</v>
      </c>
      <c r="R358" s="1">
        <v>18</v>
      </c>
      <c r="S358" s="4">
        <v>493240</v>
      </c>
      <c r="T358" s="4" t="s">
        <v>65</v>
      </c>
      <c r="U358" s="2" t="s">
        <v>30</v>
      </c>
      <c r="V358" s="2" t="s">
        <v>95</v>
      </c>
    </row>
    <row r="359" spans="1:22" x14ac:dyDescent="0.35">
      <c r="A359" s="5" t="s">
        <v>1391</v>
      </c>
      <c r="B359" s="10">
        <v>45313</v>
      </c>
      <c r="C359" s="6" t="s">
        <v>1766</v>
      </c>
      <c r="D359" s="6" t="s">
        <v>1392</v>
      </c>
      <c r="E359" s="6" t="s">
        <v>213</v>
      </c>
      <c r="F359" s="3" t="s">
        <v>1789</v>
      </c>
      <c r="G359" s="3" t="s">
        <v>92</v>
      </c>
      <c r="H359" s="5" t="s">
        <v>93</v>
      </c>
      <c r="I359" s="5" t="s">
        <v>38</v>
      </c>
      <c r="J359" s="5" t="s">
        <v>354</v>
      </c>
      <c r="K359" s="6" t="s">
        <v>355</v>
      </c>
      <c r="L359" s="6" t="s">
        <v>62</v>
      </c>
      <c r="M359" s="6" t="s">
        <v>356</v>
      </c>
      <c r="N359" s="6" t="s">
        <v>357</v>
      </c>
      <c r="O359" s="12">
        <v>9</v>
      </c>
      <c r="P359" s="12">
        <v>0</v>
      </c>
      <c r="Q359" s="14">
        <v>80</v>
      </c>
      <c r="R359" s="5">
        <v>5</v>
      </c>
      <c r="S359" s="4">
        <v>0</v>
      </c>
      <c r="T359" s="4" t="s">
        <v>1793</v>
      </c>
      <c r="U359" s="6" t="s">
        <v>116</v>
      </c>
      <c r="V359" s="2" t="s">
        <v>95</v>
      </c>
    </row>
    <row r="360" spans="1:22" x14ac:dyDescent="0.35">
      <c r="A360" s="1" t="s">
        <v>1393</v>
      </c>
      <c r="B360" s="10">
        <v>45318</v>
      </c>
      <c r="C360" s="2" t="s">
        <v>467</v>
      </c>
      <c r="D360" s="2" t="s">
        <v>1394</v>
      </c>
      <c r="E360" s="2" t="s">
        <v>1395</v>
      </c>
      <c r="F360" s="3" t="s">
        <v>1789</v>
      </c>
      <c r="G360" s="3" t="s">
        <v>109</v>
      </c>
      <c r="H360" s="1" t="s">
        <v>48</v>
      </c>
      <c r="I360" s="1" t="s">
        <v>24</v>
      </c>
      <c r="J360" s="1" t="s">
        <v>669</v>
      </c>
      <c r="K360" s="2" t="s">
        <v>670</v>
      </c>
      <c r="L360" s="2" t="s">
        <v>84</v>
      </c>
      <c r="M360" s="2" t="s">
        <v>85</v>
      </c>
      <c r="N360" s="2" t="s">
        <v>671</v>
      </c>
      <c r="O360" s="12">
        <v>8</v>
      </c>
      <c r="P360" s="12">
        <v>38000</v>
      </c>
      <c r="Q360" s="13">
        <v>12</v>
      </c>
      <c r="R360" s="1">
        <v>18</v>
      </c>
      <c r="S360" s="4">
        <v>315673.59999999998</v>
      </c>
      <c r="T360" s="4" t="s">
        <v>94</v>
      </c>
      <c r="U360" s="3" t="s">
        <v>87</v>
      </c>
      <c r="V360" s="2" t="s">
        <v>138</v>
      </c>
    </row>
    <row r="361" spans="1:22" x14ac:dyDescent="0.35">
      <c r="A361" s="5" t="s">
        <v>1396</v>
      </c>
      <c r="B361" s="10">
        <v>45337</v>
      </c>
      <c r="C361" s="6" t="s">
        <v>1767</v>
      </c>
      <c r="D361" s="6" t="s">
        <v>1397</v>
      </c>
      <c r="E361" s="6" t="s">
        <v>560</v>
      </c>
      <c r="F361" s="6" t="s">
        <v>1398</v>
      </c>
      <c r="G361" s="6" t="s">
        <v>230</v>
      </c>
      <c r="H361" s="5" t="s">
        <v>231</v>
      </c>
      <c r="I361" s="5" t="s">
        <v>24</v>
      </c>
      <c r="J361" s="5" t="s">
        <v>201</v>
      </c>
      <c r="K361" s="6" t="s">
        <v>202</v>
      </c>
      <c r="L361" s="6" t="s">
        <v>27</v>
      </c>
      <c r="M361" s="6" t="s">
        <v>203</v>
      </c>
      <c r="N361" s="6" t="s">
        <v>204</v>
      </c>
      <c r="O361" s="12">
        <v>2</v>
      </c>
      <c r="P361" s="12">
        <v>280</v>
      </c>
      <c r="Q361" s="14">
        <v>12</v>
      </c>
      <c r="R361" s="5">
        <v>5</v>
      </c>
      <c r="S361" s="4">
        <v>517.44000000000005</v>
      </c>
      <c r="T361" s="4" t="s">
        <v>94</v>
      </c>
      <c r="U361" s="6" t="s">
        <v>137</v>
      </c>
      <c r="V361" s="2" t="s">
        <v>95</v>
      </c>
    </row>
    <row r="362" spans="1:22" x14ac:dyDescent="0.35">
      <c r="A362" s="1" t="s">
        <v>1399</v>
      </c>
      <c r="B362" s="10">
        <v>45320</v>
      </c>
      <c r="C362" s="2" t="s">
        <v>1776</v>
      </c>
      <c r="D362" s="2" t="s">
        <v>1400</v>
      </c>
      <c r="E362" s="2" t="s">
        <v>926</v>
      </c>
      <c r="F362" s="2" t="s">
        <v>1401</v>
      </c>
      <c r="G362" s="2" t="s">
        <v>349</v>
      </c>
      <c r="H362" s="1" t="s">
        <v>209</v>
      </c>
      <c r="I362" s="1" t="s">
        <v>210</v>
      </c>
      <c r="J362" s="1" t="s">
        <v>125</v>
      </c>
      <c r="K362" s="2" t="s">
        <v>126</v>
      </c>
      <c r="L362" s="2" t="s">
        <v>27</v>
      </c>
      <c r="M362" s="2" t="s">
        <v>127</v>
      </c>
      <c r="N362" s="2" t="s">
        <v>128</v>
      </c>
      <c r="O362" s="12">
        <v>5</v>
      </c>
      <c r="P362" s="12">
        <v>50</v>
      </c>
      <c r="Q362" s="13">
        <v>8</v>
      </c>
      <c r="R362" s="1">
        <v>5</v>
      </c>
      <c r="S362" s="4">
        <v>241.5</v>
      </c>
      <c r="T362" s="4" t="s">
        <v>65</v>
      </c>
      <c r="U362" s="3" t="s">
        <v>137</v>
      </c>
      <c r="V362" s="2" t="s">
        <v>138</v>
      </c>
    </row>
    <row r="363" spans="1:22" x14ac:dyDescent="0.35">
      <c r="A363" s="5" t="s">
        <v>1402</v>
      </c>
      <c r="B363" s="10">
        <v>45440</v>
      </c>
      <c r="C363" s="6" t="s">
        <v>1778</v>
      </c>
      <c r="D363" s="6" t="s">
        <v>1403</v>
      </c>
      <c r="E363" s="6" t="s">
        <v>336</v>
      </c>
      <c r="F363" s="6" t="s">
        <v>1404</v>
      </c>
      <c r="G363" s="6" t="s">
        <v>230</v>
      </c>
      <c r="H363" s="5" t="s">
        <v>231</v>
      </c>
      <c r="I363" s="5" t="s">
        <v>24</v>
      </c>
      <c r="J363" s="5" t="s">
        <v>434</v>
      </c>
      <c r="K363" s="6" t="s">
        <v>435</v>
      </c>
      <c r="L363" s="6" t="s">
        <v>62</v>
      </c>
      <c r="M363" s="6" t="s">
        <v>160</v>
      </c>
      <c r="N363" s="6" t="s">
        <v>436</v>
      </c>
      <c r="O363" s="12">
        <v>6</v>
      </c>
      <c r="P363" s="12">
        <v>1200</v>
      </c>
      <c r="Q363" s="14">
        <v>25</v>
      </c>
      <c r="R363" s="5">
        <v>5</v>
      </c>
      <c r="S363" s="4">
        <v>5670</v>
      </c>
      <c r="T363" s="4" t="s">
        <v>294</v>
      </c>
      <c r="U363" s="3" t="s">
        <v>137</v>
      </c>
      <c r="V363" s="2" t="s">
        <v>138</v>
      </c>
    </row>
    <row r="364" spans="1:22" x14ac:dyDescent="0.35">
      <c r="A364" s="1" t="s">
        <v>1405</v>
      </c>
      <c r="B364" s="10">
        <v>45388</v>
      </c>
      <c r="C364" s="2" t="s">
        <v>1785</v>
      </c>
      <c r="D364" s="2" t="s">
        <v>1406</v>
      </c>
      <c r="E364" s="2" t="s">
        <v>553</v>
      </c>
      <c r="F364" s="2" t="s">
        <v>1407</v>
      </c>
      <c r="G364" s="2" t="s">
        <v>237</v>
      </c>
      <c r="H364" s="1" t="s">
        <v>23</v>
      </c>
      <c r="I364" s="1" t="s">
        <v>24</v>
      </c>
      <c r="J364" s="1" t="s">
        <v>434</v>
      </c>
      <c r="K364" s="2" t="s">
        <v>435</v>
      </c>
      <c r="L364" s="2" t="s">
        <v>62</v>
      </c>
      <c r="M364" s="2" t="s">
        <v>160</v>
      </c>
      <c r="N364" s="2" t="s">
        <v>436</v>
      </c>
      <c r="O364" s="12">
        <v>3</v>
      </c>
      <c r="P364" s="12">
        <v>1200</v>
      </c>
      <c r="Q364" s="13">
        <v>20</v>
      </c>
      <c r="R364" s="1">
        <v>5</v>
      </c>
      <c r="S364" s="4">
        <v>3024</v>
      </c>
      <c r="T364" s="4" t="s">
        <v>65</v>
      </c>
      <c r="U364" s="2" t="s">
        <v>87</v>
      </c>
      <c r="V364" s="2" t="s">
        <v>95</v>
      </c>
    </row>
    <row r="365" spans="1:22" x14ac:dyDescent="0.35">
      <c r="A365" s="5" t="s">
        <v>1408</v>
      </c>
      <c r="B365" s="10">
        <v>45320</v>
      </c>
      <c r="C365" s="6" t="s">
        <v>458</v>
      </c>
      <c r="D365" s="6" t="s">
        <v>1409</v>
      </c>
      <c r="E365" s="6" t="s">
        <v>352</v>
      </c>
      <c r="F365" s="3" t="s">
        <v>1789</v>
      </c>
      <c r="G365" s="3" t="s">
        <v>70</v>
      </c>
      <c r="H365" s="5" t="s">
        <v>70</v>
      </c>
      <c r="I365" s="5" t="s">
        <v>71</v>
      </c>
      <c r="J365" s="5" t="s">
        <v>72</v>
      </c>
      <c r="K365" s="6" t="s">
        <v>73</v>
      </c>
      <c r="L365" s="6" t="s">
        <v>51</v>
      </c>
      <c r="M365" s="6" t="s">
        <v>52</v>
      </c>
      <c r="N365" s="6" t="s">
        <v>74</v>
      </c>
      <c r="O365" s="12">
        <v>1</v>
      </c>
      <c r="P365" s="12">
        <v>14000</v>
      </c>
      <c r="Q365" s="14">
        <v>12</v>
      </c>
      <c r="R365" s="5">
        <v>18</v>
      </c>
      <c r="S365" s="4">
        <v>14537.599999999999</v>
      </c>
      <c r="T365" s="4" t="s">
        <v>54</v>
      </c>
      <c r="U365" s="6" t="s">
        <v>137</v>
      </c>
      <c r="V365" s="2" t="s">
        <v>138</v>
      </c>
    </row>
    <row r="366" spans="1:22" x14ac:dyDescent="0.35">
      <c r="A366" s="1" t="s">
        <v>1410</v>
      </c>
      <c r="B366" s="10">
        <v>45450</v>
      </c>
      <c r="C366" s="2" t="s">
        <v>1778</v>
      </c>
      <c r="D366" s="2" t="s">
        <v>1411</v>
      </c>
      <c r="E366" s="2" t="s">
        <v>336</v>
      </c>
      <c r="F366" s="2" t="s">
        <v>1412</v>
      </c>
      <c r="G366" s="2" t="s">
        <v>70</v>
      </c>
      <c r="H366" s="1" t="s">
        <v>70</v>
      </c>
      <c r="I366" s="1" t="s">
        <v>71</v>
      </c>
      <c r="J366" s="1" t="s">
        <v>266</v>
      </c>
      <c r="K366" s="2" t="s">
        <v>267</v>
      </c>
      <c r="L366" s="2" t="s">
        <v>62</v>
      </c>
      <c r="M366" s="2" t="s">
        <v>63</v>
      </c>
      <c r="N366" s="2" t="s">
        <v>268</v>
      </c>
      <c r="O366" s="12">
        <v>5</v>
      </c>
      <c r="P366" s="12">
        <v>8500</v>
      </c>
      <c r="Q366" s="13">
        <v>8</v>
      </c>
      <c r="R366" s="1">
        <v>18</v>
      </c>
      <c r="S366" s="4">
        <v>46138</v>
      </c>
      <c r="T366" s="4" t="s">
        <v>65</v>
      </c>
      <c r="U366" s="2" t="s">
        <v>30</v>
      </c>
      <c r="V366" s="2" t="s">
        <v>138</v>
      </c>
    </row>
    <row r="367" spans="1:22" x14ac:dyDescent="0.35">
      <c r="A367" s="5" t="s">
        <v>1413</v>
      </c>
      <c r="B367" s="10">
        <v>45371</v>
      </c>
      <c r="C367" s="6" t="s">
        <v>346</v>
      </c>
      <c r="D367" s="6" t="s">
        <v>1414</v>
      </c>
      <c r="E367" s="6" t="s">
        <v>576</v>
      </c>
      <c r="F367" s="6" t="s">
        <v>1415</v>
      </c>
      <c r="G367" s="6" t="s">
        <v>237</v>
      </c>
      <c r="H367" s="5" t="s">
        <v>23</v>
      </c>
      <c r="I367" s="5" t="s">
        <v>24</v>
      </c>
      <c r="J367" s="5" t="s">
        <v>201</v>
      </c>
      <c r="K367" s="6" t="s">
        <v>202</v>
      </c>
      <c r="L367" s="6" t="s">
        <v>27</v>
      </c>
      <c r="M367" s="6" t="s">
        <v>203</v>
      </c>
      <c r="N367" s="6" t="s">
        <v>204</v>
      </c>
      <c r="O367" s="12">
        <v>7</v>
      </c>
      <c r="P367" s="12">
        <v>280</v>
      </c>
      <c r="Q367" s="14">
        <v>80</v>
      </c>
      <c r="R367" s="5">
        <v>5</v>
      </c>
      <c r="S367" s="4">
        <v>411.59999999999991</v>
      </c>
      <c r="T367" s="4" t="s">
        <v>294</v>
      </c>
      <c r="U367" s="3" t="s">
        <v>116</v>
      </c>
      <c r="V367" s="2" t="s">
        <v>95</v>
      </c>
    </row>
    <row r="368" spans="1:22" x14ac:dyDescent="0.35">
      <c r="A368" s="1" t="s">
        <v>1416</v>
      </c>
      <c r="B368" s="10">
        <v>45420</v>
      </c>
      <c r="C368" s="2" t="s">
        <v>1786</v>
      </c>
      <c r="D368" s="2" t="s">
        <v>1788</v>
      </c>
      <c r="E368" s="2" t="s">
        <v>615</v>
      </c>
      <c r="F368" s="3" t="s">
        <v>1789</v>
      </c>
      <c r="G368" s="3" t="s">
        <v>150</v>
      </c>
      <c r="H368" s="1" t="s">
        <v>93</v>
      </c>
      <c r="I368" s="1" t="s">
        <v>38</v>
      </c>
      <c r="J368" s="1" t="s">
        <v>434</v>
      </c>
      <c r="K368" s="2" t="s">
        <v>435</v>
      </c>
      <c r="L368" s="2" t="s">
        <v>62</v>
      </c>
      <c r="M368" s="2" t="s">
        <v>160</v>
      </c>
      <c r="N368" s="2" t="s">
        <v>436</v>
      </c>
      <c r="O368" s="12">
        <v>6</v>
      </c>
      <c r="P368" s="12">
        <v>1200</v>
      </c>
      <c r="Q368" s="13">
        <v>20</v>
      </c>
      <c r="R368" s="1">
        <v>5</v>
      </c>
      <c r="S368" s="4">
        <v>6048</v>
      </c>
      <c r="T368" s="4" t="s">
        <v>94</v>
      </c>
      <c r="U368" s="3" t="s">
        <v>137</v>
      </c>
      <c r="V368" s="2" t="s">
        <v>138</v>
      </c>
    </row>
    <row r="369" spans="1:22" x14ac:dyDescent="0.35">
      <c r="A369" s="5" t="s">
        <v>1417</v>
      </c>
      <c r="B369" s="10">
        <v>45379</v>
      </c>
      <c r="C369" s="6" t="s">
        <v>1772</v>
      </c>
      <c r="D369" s="6" t="s">
        <v>1418</v>
      </c>
      <c r="E369" s="6" t="s">
        <v>148</v>
      </c>
      <c r="F369" s="6" t="s">
        <v>1419</v>
      </c>
      <c r="G369" s="6" t="s">
        <v>150</v>
      </c>
      <c r="H369" s="5" t="s">
        <v>93</v>
      </c>
      <c r="I369" s="5" t="s">
        <v>38</v>
      </c>
      <c r="J369" s="5" t="s">
        <v>143</v>
      </c>
      <c r="K369" s="6" t="s">
        <v>144</v>
      </c>
      <c r="L369" s="6" t="s">
        <v>51</v>
      </c>
      <c r="M369" s="6" t="s">
        <v>52</v>
      </c>
      <c r="N369" s="6" t="s">
        <v>145</v>
      </c>
      <c r="O369" s="12">
        <v>2</v>
      </c>
      <c r="P369" s="12">
        <v>89000</v>
      </c>
      <c r="Q369" s="14">
        <v>8</v>
      </c>
      <c r="R369" s="5">
        <v>18</v>
      </c>
      <c r="S369" s="4">
        <v>193236.8</v>
      </c>
      <c r="T369" s="4" t="s">
        <v>94</v>
      </c>
      <c r="U369" s="3" t="s">
        <v>116</v>
      </c>
      <c r="V369" s="2" t="s">
        <v>138</v>
      </c>
    </row>
    <row r="370" spans="1:22" x14ac:dyDescent="0.35">
      <c r="A370" s="1" t="s">
        <v>1420</v>
      </c>
      <c r="B370" s="10">
        <v>45363</v>
      </c>
      <c r="C370" s="2" t="s">
        <v>1771</v>
      </c>
      <c r="D370" s="2" t="s">
        <v>1421</v>
      </c>
      <c r="E370" s="2" t="s">
        <v>834</v>
      </c>
      <c r="F370" s="2" t="s">
        <v>1422</v>
      </c>
      <c r="G370" s="2" t="s">
        <v>230</v>
      </c>
      <c r="H370" s="1" t="s">
        <v>231</v>
      </c>
      <c r="I370" s="1" t="s">
        <v>24</v>
      </c>
      <c r="J370" s="1" t="s">
        <v>72</v>
      </c>
      <c r="K370" s="2" t="s">
        <v>73</v>
      </c>
      <c r="L370" s="2" t="s">
        <v>51</v>
      </c>
      <c r="M370" s="2" t="s">
        <v>52</v>
      </c>
      <c r="N370" s="2" t="s">
        <v>74</v>
      </c>
      <c r="O370" s="12">
        <v>2</v>
      </c>
      <c r="P370" s="12">
        <v>14000</v>
      </c>
      <c r="Q370" s="13">
        <v>5</v>
      </c>
      <c r="R370" s="1">
        <v>18</v>
      </c>
      <c r="S370" s="4">
        <v>31388</v>
      </c>
      <c r="T370" s="4" t="s">
        <v>1794</v>
      </c>
      <c r="U370" s="2" t="s">
        <v>116</v>
      </c>
      <c r="V370" s="2" t="s">
        <v>138</v>
      </c>
    </row>
    <row r="371" spans="1:22" x14ac:dyDescent="0.35">
      <c r="A371" s="5" t="s">
        <v>1423</v>
      </c>
      <c r="B371" s="10">
        <v>45466</v>
      </c>
      <c r="C371" s="6" t="s">
        <v>525</v>
      </c>
      <c r="D371" s="6" t="s">
        <v>1424</v>
      </c>
      <c r="E371" s="6" t="s">
        <v>796</v>
      </c>
      <c r="F371" s="6" t="s">
        <v>1425</v>
      </c>
      <c r="G371" s="6" t="s">
        <v>36</v>
      </c>
      <c r="H371" s="5" t="s">
        <v>37</v>
      </c>
      <c r="I371" s="5" t="s">
        <v>38</v>
      </c>
      <c r="J371" s="5" t="s">
        <v>49</v>
      </c>
      <c r="K371" s="6" t="s">
        <v>50</v>
      </c>
      <c r="L371" s="6" t="s">
        <v>51</v>
      </c>
      <c r="M371" s="6" t="s">
        <v>52</v>
      </c>
      <c r="N371" s="6" t="s">
        <v>53</v>
      </c>
      <c r="O371" s="12">
        <v>1</v>
      </c>
      <c r="P371" s="12">
        <v>28000</v>
      </c>
      <c r="Q371" s="14">
        <v>8</v>
      </c>
      <c r="R371" s="5">
        <v>18</v>
      </c>
      <c r="S371" s="4">
        <v>30396.799999999999</v>
      </c>
      <c r="T371" s="4" t="s">
        <v>1793</v>
      </c>
      <c r="U371" s="3" t="s">
        <v>137</v>
      </c>
      <c r="V371" s="2" t="s">
        <v>138</v>
      </c>
    </row>
    <row r="372" spans="1:22" x14ac:dyDescent="0.35">
      <c r="A372" s="1" t="s">
        <v>1426</v>
      </c>
      <c r="B372" s="10">
        <v>45313</v>
      </c>
      <c r="C372" s="2" t="s">
        <v>1773</v>
      </c>
      <c r="D372" s="2" t="s">
        <v>1427</v>
      </c>
      <c r="E372" s="2" t="s">
        <v>360</v>
      </c>
      <c r="F372" s="2" t="s">
        <v>1428</v>
      </c>
      <c r="G372" s="2" t="s">
        <v>150</v>
      </c>
      <c r="H372" s="1" t="s">
        <v>93</v>
      </c>
      <c r="I372" s="1" t="s">
        <v>38</v>
      </c>
      <c r="J372" s="1" t="s">
        <v>25</v>
      </c>
      <c r="K372" s="2" t="s">
        <v>26</v>
      </c>
      <c r="L372" s="2" t="s">
        <v>27</v>
      </c>
      <c r="M372" s="2" t="s">
        <v>28</v>
      </c>
      <c r="N372" s="2" t="s">
        <v>29</v>
      </c>
      <c r="O372" s="12">
        <v>7</v>
      </c>
      <c r="P372" s="12">
        <v>450</v>
      </c>
      <c r="Q372" s="13">
        <v>25</v>
      </c>
      <c r="R372" s="1">
        <v>5</v>
      </c>
      <c r="S372" s="4">
        <v>2480.625</v>
      </c>
      <c r="T372" s="4" t="s">
        <v>94</v>
      </c>
      <c r="U372" s="3" t="s">
        <v>137</v>
      </c>
      <c r="V372" s="2" t="s">
        <v>138</v>
      </c>
    </row>
    <row r="373" spans="1:22" x14ac:dyDescent="0.35">
      <c r="A373" s="5" t="s">
        <v>1429</v>
      </c>
      <c r="B373" s="10">
        <v>45346</v>
      </c>
      <c r="C373" s="6" t="s">
        <v>346</v>
      </c>
      <c r="D373" s="6" t="s">
        <v>1430</v>
      </c>
      <c r="E373" s="6" t="s">
        <v>576</v>
      </c>
      <c r="F373" s="6" t="s">
        <v>1431</v>
      </c>
      <c r="G373" s="6" t="s">
        <v>166</v>
      </c>
      <c r="H373" s="5" t="s">
        <v>167</v>
      </c>
      <c r="I373" s="5" t="s">
        <v>71</v>
      </c>
      <c r="J373" s="5" t="s">
        <v>72</v>
      </c>
      <c r="K373" s="6" t="s">
        <v>73</v>
      </c>
      <c r="L373" s="6" t="s">
        <v>51</v>
      </c>
      <c r="M373" s="6" t="s">
        <v>52</v>
      </c>
      <c r="N373" s="6" t="s">
        <v>74</v>
      </c>
      <c r="O373" s="12">
        <v>1</v>
      </c>
      <c r="P373" s="12">
        <v>14000</v>
      </c>
      <c r="Q373" s="14">
        <v>0</v>
      </c>
      <c r="R373" s="5">
        <v>18</v>
      </c>
      <c r="S373" s="4">
        <v>16520</v>
      </c>
      <c r="T373" s="4" t="s">
        <v>1793</v>
      </c>
      <c r="U373" s="3" t="s">
        <v>137</v>
      </c>
      <c r="V373" s="2" t="s">
        <v>95</v>
      </c>
    </row>
    <row r="374" spans="1:22" x14ac:dyDescent="0.35">
      <c r="A374" s="1" t="s">
        <v>1432</v>
      </c>
      <c r="B374" s="10">
        <v>45381</v>
      </c>
      <c r="C374" s="2" t="s">
        <v>959</v>
      </c>
      <c r="D374" s="2" t="s">
        <v>1433</v>
      </c>
      <c r="E374" s="2" t="s">
        <v>1434</v>
      </c>
      <c r="F374" s="2" t="s">
        <v>1435</v>
      </c>
      <c r="G374" s="2" t="s">
        <v>349</v>
      </c>
      <c r="H374" s="1" t="s">
        <v>209</v>
      </c>
      <c r="I374" s="1" t="s">
        <v>210</v>
      </c>
      <c r="J374" s="1" t="s">
        <v>354</v>
      </c>
      <c r="K374" s="2" t="s">
        <v>355</v>
      </c>
      <c r="L374" s="2" t="s">
        <v>62</v>
      </c>
      <c r="M374" s="2" t="s">
        <v>356</v>
      </c>
      <c r="N374" s="2" t="s">
        <v>357</v>
      </c>
      <c r="O374" s="12">
        <v>7</v>
      </c>
      <c r="P374" s="12">
        <v>4500</v>
      </c>
      <c r="Q374" s="13">
        <v>5</v>
      </c>
      <c r="R374" s="1">
        <v>5</v>
      </c>
      <c r="S374" s="4">
        <v>31421.25</v>
      </c>
      <c r="T374" s="4" t="s">
        <v>1794</v>
      </c>
      <c r="U374" s="2" t="s">
        <v>116</v>
      </c>
      <c r="V374" s="2" t="s">
        <v>95</v>
      </c>
    </row>
    <row r="375" spans="1:22" x14ac:dyDescent="0.35">
      <c r="A375" s="5" t="s">
        <v>1436</v>
      </c>
      <c r="B375" s="10">
        <v>45359</v>
      </c>
      <c r="C375" s="6" t="s">
        <v>1767</v>
      </c>
      <c r="D375" s="6" t="s">
        <v>1437</v>
      </c>
      <c r="E375" s="6" t="s">
        <v>477</v>
      </c>
      <c r="F375" s="6" t="s">
        <v>1438</v>
      </c>
      <c r="G375" s="6" t="s">
        <v>80</v>
      </c>
      <c r="H375" s="5" t="s">
        <v>81</v>
      </c>
      <c r="I375" s="5" t="s">
        <v>24</v>
      </c>
      <c r="J375" s="5" t="s">
        <v>60</v>
      </c>
      <c r="K375" s="6" t="s">
        <v>1790</v>
      </c>
      <c r="L375" s="6" t="s">
        <v>62</v>
      </c>
      <c r="M375" s="6" t="s">
        <v>63</v>
      </c>
      <c r="N375" s="6" t="s">
        <v>64</v>
      </c>
      <c r="O375" s="12">
        <v>2</v>
      </c>
      <c r="P375" s="12">
        <v>3500</v>
      </c>
      <c r="Q375" s="14">
        <v>80</v>
      </c>
      <c r="R375" s="5">
        <v>18</v>
      </c>
      <c r="S375" s="4">
        <v>1651.9999999999995</v>
      </c>
      <c r="T375" s="4" t="s">
        <v>1793</v>
      </c>
      <c r="U375" s="6" t="s">
        <v>87</v>
      </c>
      <c r="V375" s="2" t="s">
        <v>138</v>
      </c>
    </row>
    <row r="376" spans="1:22" x14ac:dyDescent="0.35">
      <c r="A376" s="1" t="s">
        <v>1439</v>
      </c>
      <c r="B376" s="10">
        <v>45458</v>
      </c>
      <c r="C376" s="2" t="s">
        <v>1774</v>
      </c>
      <c r="D376" s="2" t="s">
        <v>1440</v>
      </c>
      <c r="E376" s="2" t="s">
        <v>281</v>
      </c>
      <c r="F376" s="2" t="s">
        <v>1441</v>
      </c>
      <c r="G376" s="2" t="s">
        <v>150</v>
      </c>
      <c r="H376" s="1" t="s">
        <v>93</v>
      </c>
      <c r="I376" s="1" t="s">
        <v>38</v>
      </c>
      <c r="J376" s="1" t="s">
        <v>158</v>
      </c>
      <c r="K376" s="2" t="s">
        <v>159</v>
      </c>
      <c r="L376" s="2" t="s">
        <v>62</v>
      </c>
      <c r="M376" s="2" t="s">
        <v>160</v>
      </c>
      <c r="N376" s="2" t="s">
        <v>161</v>
      </c>
      <c r="O376" s="12">
        <v>6</v>
      </c>
      <c r="P376" s="12">
        <v>2500</v>
      </c>
      <c r="Q376" s="13">
        <v>15</v>
      </c>
      <c r="R376" s="1">
        <v>5</v>
      </c>
      <c r="S376" s="4">
        <v>13387.5</v>
      </c>
      <c r="T376" s="4" t="s">
        <v>94</v>
      </c>
      <c r="U376" s="2" t="s">
        <v>87</v>
      </c>
      <c r="V376" s="2" t="s">
        <v>95</v>
      </c>
    </row>
    <row r="377" spans="1:22" x14ac:dyDescent="0.35">
      <c r="A377" s="5" t="s">
        <v>1442</v>
      </c>
      <c r="B377" s="10">
        <v>45318</v>
      </c>
      <c r="C377" s="6" t="s">
        <v>32</v>
      </c>
      <c r="D377" s="6" t="s">
        <v>1443</v>
      </c>
      <c r="E377" s="6" t="s">
        <v>1228</v>
      </c>
      <c r="F377" s="6" t="s">
        <v>1444</v>
      </c>
      <c r="G377" s="6" t="s">
        <v>109</v>
      </c>
      <c r="H377" s="5" t="s">
        <v>48</v>
      </c>
      <c r="I377" s="5" t="s">
        <v>24</v>
      </c>
      <c r="J377" s="5" t="s">
        <v>49</v>
      </c>
      <c r="K377" s="6" t="s">
        <v>50</v>
      </c>
      <c r="L377" s="6" t="s">
        <v>51</v>
      </c>
      <c r="M377" s="6" t="s">
        <v>52</v>
      </c>
      <c r="N377" s="6" t="s">
        <v>53</v>
      </c>
      <c r="O377" s="12">
        <v>7</v>
      </c>
      <c r="P377" s="12">
        <v>28000</v>
      </c>
      <c r="Q377" s="14">
        <v>5</v>
      </c>
      <c r="R377" s="5">
        <v>18</v>
      </c>
      <c r="S377" s="4">
        <v>219716</v>
      </c>
      <c r="T377" s="4" t="s">
        <v>54</v>
      </c>
      <c r="U377" s="6" t="s">
        <v>137</v>
      </c>
      <c r="V377" s="2" t="s">
        <v>138</v>
      </c>
    </row>
    <row r="378" spans="1:22" x14ac:dyDescent="0.35">
      <c r="A378" s="1" t="s">
        <v>1445</v>
      </c>
      <c r="B378" s="10">
        <v>45349</v>
      </c>
      <c r="C378" s="2" t="s">
        <v>1770</v>
      </c>
      <c r="D378" s="2" t="s">
        <v>1446</v>
      </c>
      <c r="E378" s="2" t="s">
        <v>1447</v>
      </c>
      <c r="F378" s="2" t="s">
        <v>1448</v>
      </c>
      <c r="G378" s="2" t="s">
        <v>109</v>
      </c>
      <c r="H378" s="1" t="s">
        <v>48</v>
      </c>
      <c r="I378" s="1" t="s">
        <v>24</v>
      </c>
      <c r="J378" s="1" t="s">
        <v>300</v>
      </c>
      <c r="K378" s="2" t="s">
        <v>301</v>
      </c>
      <c r="L378" s="2" t="s">
        <v>62</v>
      </c>
      <c r="M378" s="2" t="s">
        <v>302</v>
      </c>
      <c r="N378" s="2" t="s">
        <v>303</v>
      </c>
      <c r="O378" s="12">
        <v>7</v>
      </c>
      <c r="P378" s="12">
        <v>4800</v>
      </c>
      <c r="Q378" s="13">
        <v>25</v>
      </c>
      <c r="R378" s="1">
        <v>18</v>
      </c>
      <c r="S378" s="4">
        <v>29736</v>
      </c>
      <c r="T378" s="4" t="s">
        <v>294</v>
      </c>
      <c r="U378" s="2" t="s">
        <v>137</v>
      </c>
      <c r="V378" s="2" t="s">
        <v>95</v>
      </c>
    </row>
    <row r="379" spans="1:22" x14ac:dyDescent="0.35">
      <c r="A379" s="5" t="s">
        <v>1449</v>
      </c>
      <c r="B379" s="10">
        <v>45454</v>
      </c>
      <c r="C379" s="6" t="s">
        <v>1782</v>
      </c>
      <c r="D379" s="6" t="s">
        <v>1450</v>
      </c>
      <c r="E379" s="6" t="s">
        <v>645</v>
      </c>
      <c r="F379" s="6" t="s">
        <v>1451</v>
      </c>
      <c r="G379" s="6" t="s">
        <v>550</v>
      </c>
      <c r="H379" s="5" t="s">
        <v>37</v>
      </c>
      <c r="I379" s="5" t="s">
        <v>38</v>
      </c>
      <c r="J379" s="5" t="s">
        <v>143</v>
      </c>
      <c r="K379" s="6" t="s">
        <v>144</v>
      </c>
      <c r="L379" s="6" t="s">
        <v>51</v>
      </c>
      <c r="M379" s="6" t="s">
        <v>52</v>
      </c>
      <c r="N379" s="6" t="s">
        <v>145</v>
      </c>
      <c r="O379" s="12">
        <v>10</v>
      </c>
      <c r="P379" s="12">
        <v>89000</v>
      </c>
      <c r="Q379" s="14">
        <v>20</v>
      </c>
      <c r="R379" s="5">
        <v>18</v>
      </c>
      <c r="S379" s="4">
        <v>840160</v>
      </c>
      <c r="T379" s="4" t="s">
        <v>294</v>
      </c>
      <c r="U379" s="3" t="s">
        <v>137</v>
      </c>
      <c r="V379" s="2" t="s">
        <v>95</v>
      </c>
    </row>
    <row r="380" spans="1:22" x14ac:dyDescent="0.35">
      <c r="A380" s="1" t="s">
        <v>1452</v>
      </c>
      <c r="B380" s="10">
        <v>45312</v>
      </c>
      <c r="C380" s="2" t="s">
        <v>1767</v>
      </c>
      <c r="D380" s="2" t="s">
        <v>1453</v>
      </c>
      <c r="E380" s="2" t="s">
        <v>352</v>
      </c>
      <c r="F380" s="2" t="s">
        <v>1454</v>
      </c>
      <c r="G380" s="2" t="s">
        <v>550</v>
      </c>
      <c r="H380" s="1" t="s">
        <v>37</v>
      </c>
      <c r="I380" s="1" t="s">
        <v>38</v>
      </c>
      <c r="J380" s="1" t="s">
        <v>276</v>
      </c>
      <c r="K380" s="2" t="s">
        <v>277</v>
      </c>
      <c r="L380" s="2" t="s">
        <v>51</v>
      </c>
      <c r="M380" s="2" t="s">
        <v>102</v>
      </c>
      <c r="N380" s="2" t="s">
        <v>278</v>
      </c>
      <c r="O380" s="12">
        <v>5</v>
      </c>
      <c r="P380" s="12">
        <v>1500</v>
      </c>
      <c r="Q380" s="13">
        <v>0</v>
      </c>
      <c r="R380" s="1">
        <v>18</v>
      </c>
      <c r="S380" s="4">
        <v>8850</v>
      </c>
      <c r="T380" s="4" t="s">
        <v>1793</v>
      </c>
      <c r="U380" s="3" t="s">
        <v>116</v>
      </c>
      <c r="V380" s="2" t="s">
        <v>138</v>
      </c>
    </row>
    <row r="381" spans="1:22" x14ac:dyDescent="0.35">
      <c r="A381" s="5" t="s">
        <v>1455</v>
      </c>
      <c r="B381" s="10">
        <v>45319</v>
      </c>
      <c r="C381" s="6" t="s">
        <v>1779</v>
      </c>
      <c r="D381" s="6" t="s">
        <v>1456</v>
      </c>
      <c r="E381" s="6" t="s">
        <v>1296</v>
      </c>
      <c r="F381" s="6" t="s">
        <v>1457</v>
      </c>
      <c r="G381" s="6" t="s">
        <v>349</v>
      </c>
      <c r="H381" s="5" t="s">
        <v>209</v>
      </c>
      <c r="I381" s="5" t="s">
        <v>210</v>
      </c>
      <c r="J381" s="5" t="s">
        <v>25</v>
      </c>
      <c r="K381" s="6" t="s">
        <v>26</v>
      </c>
      <c r="L381" s="6" t="s">
        <v>27</v>
      </c>
      <c r="M381" s="6" t="s">
        <v>28</v>
      </c>
      <c r="N381" s="6" t="s">
        <v>29</v>
      </c>
      <c r="O381" s="12">
        <v>7</v>
      </c>
      <c r="P381" s="12">
        <v>450</v>
      </c>
      <c r="Q381" s="14">
        <v>0</v>
      </c>
      <c r="R381" s="5">
        <v>5</v>
      </c>
      <c r="S381" s="4">
        <v>3307.5</v>
      </c>
      <c r="T381" s="4" t="s">
        <v>65</v>
      </c>
      <c r="U381" s="3" t="s">
        <v>116</v>
      </c>
      <c r="V381" s="2" t="s">
        <v>138</v>
      </c>
    </row>
    <row r="382" spans="1:22" x14ac:dyDescent="0.35">
      <c r="A382" s="1" t="s">
        <v>1458</v>
      </c>
      <c r="B382" s="10">
        <v>45322</v>
      </c>
      <c r="C382" s="2" t="s">
        <v>1785</v>
      </c>
      <c r="D382" s="2" t="s">
        <v>1459</v>
      </c>
      <c r="E382" s="2" t="s">
        <v>553</v>
      </c>
      <c r="F382" s="2" t="s">
        <v>1460</v>
      </c>
      <c r="G382" s="2" t="s">
        <v>230</v>
      </c>
      <c r="H382" s="1" t="s">
        <v>231</v>
      </c>
      <c r="I382" s="1" t="s">
        <v>24</v>
      </c>
      <c r="J382" s="1" t="s">
        <v>184</v>
      </c>
      <c r="K382" s="2" t="s">
        <v>185</v>
      </c>
      <c r="L382" s="2" t="s">
        <v>51</v>
      </c>
      <c r="M382" s="2" t="s">
        <v>186</v>
      </c>
      <c r="N382" s="2" t="s">
        <v>74</v>
      </c>
      <c r="O382" s="12">
        <v>7</v>
      </c>
      <c r="P382" s="12">
        <v>35000</v>
      </c>
      <c r="Q382" s="13">
        <v>8</v>
      </c>
      <c r="R382" s="1">
        <v>18</v>
      </c>
      <c r="S382" s="4">
        <v>265972</v>
      </c>
      <c r="T382" s="4" t="s">
        <v>54</v>
      </c>
      <c r="U382" s="3" t="s">
        <v>116</v>
      </c>
      <c r="V382" s="2" t="s">
        <v>95</v>
      </c>
    </row>
    <row r="383" spans="1:22" x14ac:dyDescent="0.35">
      <c r="A383" s="5" t="s">
        <v>1461</v>
      </c>
      <c r="B383" s="10">
        <v>45343</v>
      </c>
      <c r="C383" s="6" t="s">
        <v>1763</v>
      </c>
      <c r="D383" s="6" t="s">
        <v>1462</v>
      </c>
      <c r="E383" s="6" t="s">
        <v>713</v>
      </c>
      <c r="F383" s="6" t="s">
        <v>1463</v>
      </c>
      <c r="G383" s="6" t="s">
        <v>70</v>
      </c>
      <c r="H383" s="5" t="s">
        <v>70</v>
      </c>
      <c r="I383" s="5" t="s">
        <v>71</v>
      </c>
      <c r="J383" s="5" t="s">
        <v>342</v>
      </c>
      <c r="K383" s="6" t="s">
        <v>1790</v>
      </c>
      <c r="L383" s="6" t="s">
        <v>84</v>
      </c>
      <c r="M383" s="6" t="s">
        <v>244</v>
      </c>
      <c r="N383" s="6" t="s">
        <v>344</v>
      </c>
      <c r="O383" s="12">
        <v>3</v>
      </c>
      <c r="P383" s="12">
        <v>2200</v>
      </c>
      <c r="Q383" s="14">
        <v>8</v>
      </c>
      <c r="R383" s="5">
        <v>12</v>
      </c>
      <c r="S383" s="4">
        <v>6800.64</v>
      </c>
      <c r="T383" s="4" t="s">
        <v>1794</v>
      </c>
      <c r="U383" s="6" t="s">
        <v>195</v>
      </c>
      <c r="V383" s="2" t="s">
        <v>95</v>
      </c>
    </row>
    <row r="384" spans="1:22" x14ac:dyDescent="0.35">
      <c r="A384" s="1" t="s">
        <v>1464</v>
      </c>
      <c r="B384" s="10">
        <v>45373</v>
      </c>
      <c r="C384" s="2" t="s">
        <v>1768</v>
      </c>
      <c r="D384" s="2" t="s">
        <v>1465</v>
      </c>
      <c r="E384" s="2" t="s">
        <v>224</v>
      </c>
      <c r="F384" s="2" t="s">
        <v>1466</v>
      </c>
      <c r="G384" s="2" t="s">
        <v>109</v>
      </c>
      <c r="H384" s="1" t="s">
        <v>48</v>
      </c>
      <c r="I384" s="1" t="s">
        <v>24</v>
      </c>
      <c r="J384" s="1" t="s">
        <v>266</v>
      </c>
      <c r="K384" s="2" t="s">
        <v>267</v>
      </c>
      <c r="L384" s="2" t="s">
        <v>62</v>
      </c>
      <c r="M384" s="2" t="s">
        <v>63</v>
      </c>
      <c r="N384" s="2" t="s">
        <v>268</v>
      </c>
      <c r="O384" s="12">
        <v>5</v>
      </c>
      <c r="P384" s="12">
        <v>8500</v>
      </c>
      <c r="Q384" s="13">
        <v>8</v>
      </c>
      <c r="R384" s="1">
        <v>18</v>
      </c>
      <c r="S384" s="4">
        <v>46138</v>
      </c>
      <c r="T384" s="4" t="s">
        <v>65</v>
      </c>
      <c r="U384" s="3" t="s">
        <v>137</v>
      </c>
      <c r="V384" s="2" t="s">
        <v>138</v>
      </c>
    </row>
    <row r="385" spans="1:22" x14ac:dyDescent="0.35">
      <c r="A385" s="5" t="s">
        <v>1467</v>
      </c>
      <c r="B385" s="10">
        <v>45323</v>
      </c>
      <c r="C385" s="6" t="s">
        <v>346</v>
      </c>
      <c r="D385" s="6" t="s">
        <v>1468</v>
      </c>
      <c r="E385" s="6" t="s">
        <v>576</v>
      </c>
      <c r="F385" s="6" t="s">
        <v>1469</v>
      </c>
      <c r="G385" s="6" t="s">
        <v>237</v>
      </c>
      <c r="H385" s="5" t="s">
        <v>23</v>
      </c>
      <c r="I385" s="5" t="s">
        <v>24</v>
      </c>
      <c r="J385" s="5" t="s">
        <v>143</v>
      </c>
      <c r="K385" s="6" t="s">
        <v>144</v>
      </c>
      <c r="L385" s="6" t="s">
        <v>51</v>
      </c>
      <c r="M385" s="6" t="s">
        <v>52</v>
      </c>
      <c r="N385" s="6" t="s">
        <v>145</v>
      </c>
      <c r="O385" s="12">
        <v>9</v>
      </c>
      <c r="P385" s="12">
        <v>89000</v>
      </c>
      <c r="Q385" s="14">
        <v>8</v>
      </c>
      <c r="R385" s="5">
        <v>18</v>
      </c>
      <c r="S385" s="4">
        <v>869565.6</v>
      </c>
      <c r="T385" s="4" t="s">
        <v>1793</v>
      </c>
      <c r="U385" s="6" t="s">
        <v>116</v>
      </c>
      <c r="V385" s="2" t="s">
        <v>95</v>
      </c>
    </row>
    <row r="386" spans="1:22" x14ac:dyDescent="0.35">
      <c r="A386" s="1" t="s">
        <v>1470</v>
      </c>
      <c r="B386" s="10">
        <v>45418</v>
      </c>
      <c r="C386" s="2" t="s">
        <v>1784</v>
      </c>
      <c r="D386" s="2" t="s">
        <v>1471</v>
      </c>
      <c r="E386" s="2" t="s">
        <v>325</v>
      </c>
      <c r="F386" s="2" t="s">
        <v>1472</v>
      </c>
      <c r="G386" s="2" t="s">
        <v>550</v>
      </c>
      <c r="H386" s="1" t="s">
        <v>37</v>
      </c>
      <c r="I386" s="1" t="s">
        <v>38</v>
      </c>
      <c r="J386" s="1" t="s">
        <v>266</v>
      </c>
      <c r="K386" s="2" t="s">
        <v>267</v>
      </c>
      <c r="L386" s="2" t="s">
        <v>62</v>
      </c>
      <c r="M386" s="2" t="s">
        <v>63</v>
      </c>
      <c r="N386" s="2" t="s">
        <v>268</v>
      </c>
      <c r="O386" s="12">
        <v>10</v>
      </c>
      <c r="P386" s="12">
        <v>8500</v>
      </c>
      <c r="Q386" s="13">
        <v>20</v>
      </c>
      <c r="R386" s="1">
        <v>18</v>
      </c>
      <c r="S386" s="4">
        <v>80240</v>
      </c>
      <c r="T386" s="4" t="s">
        <v>294</v>
      </c>
      <c r="U386" s="2" t="s">
        <v>30</v>
      </c>
      <c r="V386" s="2" t="s">
        <v>95</v>
      </c>
    </row>
    <row r="387" spans="1:22" x14ac:dyDescent="0.35">
      <c r="A387" s="5" t="s">
        <v>1473</v>
      </c>
      <c r="B387" s="10">
        <v>45373</v>
      </c>
      <c r="C387" s="6" t="s">
        <v>1766</v>
      </c>
      <c r="D387" s="6" t="s">
        <v>1474</v>
      </c>
      <c r="E387" s="6" t="s">
        <v>213</v>
      </c>
      <c r="F387" s="6" t="s">
        <v>1475</v>
      </c>
      <c r="G387" s="6" t="s">
        <v>166</v>
      </c>
      <c r="H387" s="5" t="s">
        <v>167</v>
      </c>
      <c r="I387" s="5" t="s">
        <v>71</v>
      </c>
      <c r="J387" s="5" t="s">
        <v>25</v>
      </c>
      <c r="K387" s="6" t="s">
        <v>26</v>
      </c>
      <c r="L387" s="6" t="s">
        <v>27</v>
      </c>
      <c r="M387" s="6" t="s">
        <v>28</v>
      </c>
      <c r="N387" s="6" t="s">
        <v>29</v>
      </c>
      <c r="O387" s="12">
        <v>1</v>
      </c>
      <c r="P387" s="12">
        <v>450</v>
      </c>
      <c r="Q387" s="14">
        <v>0</v>
      </c>
      <c r="R387" s="5">
        <v>5</v>
      </c>
      <c r="S387" s="4">
        <v>472.5</v>
      </c>
      <c r="T387" s="4" t="s">
        <v>294</v>
      </c>
      <c r="U387" s="6" t="s">
        <v>195</v>
      </c>
      <c r="V387" s="2" t="s">
        <v>138</v>
      </c>
    </row>
    <row r="388" spans="1:22" x14ac:dyDescent="0.35">
      <c r="A388" s="1" t="s">
        <v>1476</v>
      </c>
      <c r="B388" s="10">
        <v>45429</v>
      </c>
      <c r="C388" s="2" t="s">
        <v>56</v>
      </c>
      <c r="D388" s="2" t="s">
        <v>1477</v>
      </c>
      <c r="E388" s="2" t="s">
        <v>784</v>
      </c>
      <c r="F388" s="2" t="s">
        <v>1478</v>
      </c>
      <c r="G388" s="2" t="s">
        <v>114</v>
      </c>
      <c r="H388" s="1" t="s">
        <v>115</v>
      </c>
      <c r="I388" s="1" t="s">
        <v>71</v>
      </c>
      <c r="J388" s="1" t="s">
        <v>49</v>
      </c>
      <c r="K388" s="2" t="s">
        <v>50</v>
      </c>
      <c r="L388" s="2" t="s">
        <v>51</v>
      </c>
      <c r="M388" s="2" t="s">
        <v>52</v>
      </c>
      <c r="N388" s="2" t="s">
        <v>53</v>
      </c>
      <c r="O388" s="12">
        <v>10</v>
      </c>
      <c r="P388" s="12">
        <v>28000</v>
      </c>
      <c r="Q388" s="13">
        <v>15</v>
      </c>
      <c r="R388" s="1">
        <v>18</v>
      </c>
      <c r="S388" s="4">
        <v>280840</v>
      </c>
      <c r="T388" s="4" t="s">
        <v>94</v>
      </c>
      <c r="U388" s="2" t="s">
        <v>30</v>
      </c>
      <c r="V388" s="2" t="s">
        <v>95</v>
      </c>
    </row>
    <row r="389" spans="1:22" x14ac:dyDescent="0.35">
      <c r="A389" s="5" t="s">
        <v>1479</v>
      </c>
      <c r="B389" s="10">
        <v>45461</v>
      </c>
      <c r="C389" s="6" t="s">
        <v>1787</v>
      </c>
      <c r="D389" s="6" t="s">
        <v>1480</v>
      </c>
      <c r="E389" s="6" t="s">
        <v>830</v>
      </c>
      <c r="F389" s="6" t="s">
        <v>1481</v>
      </c>
      <c r="G389" s="6" t="s">
        <v>114</v>
      </c>
      <c r="H389" s="5" t="s">
        <v>115</v>
      </c>
      <c r="I389" s="5" t="s">
        <v>71</v>
      </c>
      <c r="J389" s="5" t="s">
        <v>669</v>
      </c>
      <c r="K389" s="6" t="s">
        <v>670</v>
      </c>
      <c r="L389" s="6" t="s">
        <v>84</v>
      </c>
      <c r="M389" s="6" t="s">
        <v>85</v>
      </c>
      <c r="N389" s="6" t="s">
        <v>671</v>
      </c>
      <c r="O389" s="12">
        <v>3</v>
      </c>
      <c r="P389" s="12">
        <v>38000</v>
      </c>
      <c r="Q389" s="14">
        <v>20</v>
      </c>
      <c r="R389" s="5">
        <v>18</v>
      </c>
      <c r="S389" s="4">
        <v>107616</v>
      </c>
      <c r="T389" s="4" t="s">
        <v>294</v>
      </c>
      <c r="U389" s="3" t="s">
        <v>116</v>
      </c>
      <c r="V389" s="2" t="s">
        <v>95</v>
      </c>
    </row>
    <row r="390" spans="1:22" x14ac:dyDescent="0.35">
      <c r="A390" s="1" t="s">
        <v>1482</v>
      </c>
      <c r="B390" s="10">
        <v>45423</v>
      </c>
      <c r="C390" s="2" t="s">
        <v>959</v>
      </c>
      <c r="D390" s="2" t="s">
        <v>1483</v>
      </c>
      <c r="E390" s="2" t="s">
        <v>1484</v>
      </c>
      <c r="F390" s="2" t="s">
        <v>1485</v>
      </c>
      <c r="G390" s="2" t="s">
        <v>114</v>
      </c>
      <c r="H390" s="1" t="s">
        <v>115</v>
      </c>
      <c r="I390" s="1" t="s">
        <v>71</v>
      </c>
      <c r="J390" s="1" t="s">
        <v>125</v>
      </c>
      <c r="K390" s="2" t="s">
        <v>126</v>
      </c>
      <c r="L390" s="2" t="s">
        <v>27</v>
      </c>
      <c r="M390" s="2" t="s">
        <v>127</v>
      </c>
      <c r="N390" s="2" t="s">
        <v>128</v>
      </c>
      <c r="O390" s="12">
        <v>4</v>
      </c>
      <c r="P390" s="12">
        <v>50</v>
      </c>
      <c r="Q390" s="13">
        <v>10</v>
      </c>
      <c r="R390" s="1">
        <v>5</v>
      </c>
      <c r="S390" s="4">
        <v>189</v>
      </c>
      <c r="T390" s="4" t="s">
        <v>1793</v>
      </c>
      <c r="U390" s="2" t="s">
        <v>30</v>
      </c>
      <c r="V390" s="2" t="s">
        <v>138</v>
      </c>
    </row>
    <row r="391" spans="1:22" x14ac:dyDescent="0.35">
      <c r="A391" s="5" t="s">
        <v>1486</v>
      </c>
      <c r="B391" s="10">
        <v>45353</v>
      </c>
      <c r="C391" s="6" t="s">
        <v>1770</v>
      </c>
      <c r="D391" s="6" t="s">
        <v>1487</v>
      </c>
      <c r="E391" s="6" t="s">
        <v>123</v>
      </c>
      <c r="F391" s="6" t="s">
        <v>1488</v>
      </c>
      <c r="G391" s="6" t="s">
        <v>109</v>
      </c>
      <c r="H391" s="5" t="s">
        <v>48</v>
      </c>
      <c r="I391" s="5" t="s">
        <v>24</v>
      </c>
      <c r="J391" s="5" t="s">
        <v>25</v>
      </c>
      <c r="K391" s="6" t="s">
        <v>26</v>
      </c>
      <c r="L391" s="6" t="s">
        <v>27</v>
      </c>
      <c r="M391" s="6" t="s">
        <v>28</v>
      </c>
      <c r="N391" s="6" t="s">
        <v>29</v>
      </c>
      <c r="O391" s="12">
        <v>4</v>
      </c>
      <c r="P391" s="12">
        <v>450</v>
      </c>
      <c r="Q391" s="14">
        <v>12</v>
      </c>
      <c r="R391" s="5">
        <v>5</v>
      </c>
      <c r="S391" s="4">
        <v>1663.2</v>
      </c>
      <c r="T391" s="4" t="s">
        <v>65</v>
      </c>
      <c r="U391" s="6" t="s">
        <v>87</v>
      </c>
      <c r="V391" s="2" t="s">
        <v>138</v>
      </c>
    </row>
    <row r="392" spans="1:22" x14ac:dyDescent="0.35">
      <c r="A392" s="1" t="s">
        <v>1489</v>
      </c>
      <c r="B392" s="10">
        <v>45427</v>
      </c>
      <c r="C392" s="2" t="s">
        <v>537</v>
      </c>
      <c r="D392" s="2" t="s">
        <v>1490</v>
      </c>
      <c r="E392" s="2" t="s">
        <v>631</v>
      </c>
      <c r="F392" s="2" t="s">
        <v>1491</v>
      </c>
      <c r="G392" s="2" t="s">
        <v>80</v>
      </c>
      <c r="H392" s="1" t="s">
        <v>81</v>
      </c>
      <c r="I392" s="1" t="s">
        <v>24</v>
      </c>
      <c r="J392" s="1" t="s">
        <v>82</v>
      </c>
      <c r="K392" s="2" t="s">
        <v>83</v>
      </c>
      <c r="L392" s="2" t="s">
        <v>84</v>
      </c>
      <c r="M392" s="2" t="s">
        <v>85</v>
      </c>
      <c r="N392" s="2" t="s">
        <v>86</v>
      </c>
      <c r="O392" s="12">
        <v>9</v>
      </c>
      <c r="P392" s="12">
        <v>12000</v>
      </c>
      <c r="Q392" s="13">
        <v>20</v>
      </c>
      <c r="R392" s="1">
        <v>18</v>
      </c>
      <c r="S392" s="4">
        <v>101952</v>
      </c>
      <c r="T392" s="4" t="s">
        <v>294</v>
      </c>
      <c r="U392" s="2" t="s">
        <v>116</v>
      </c>
      <c r="V392" s="2" t="s">
        <v>138</v>
      </c>
    </row>
    <row r="393" spans="1:22" x14ac:dyDescent="0.35">
      <c r="A393" s="5" t="s">
        <v>1492</v>
      </c>
      <c r="B393" s="10">
        <v>45292</v>
      </c>
      <c r="C393" s="6" t="s">
        <v>1765</v>
      </c>
      <c r="D393" s="6" t="s">
        <v>1493</v>
      </c>
      <c r="E393" s="6" t="s">
        <v>857</v>
      </c>
      <c r="F393" s="6" t="s">
        <v>1494</v>
      </c>
      <c r="G393" s="6" t="s">
        <v>109</v>
      </c>
      <c r="H393" s="5" t="s">
        <v>48</v>
      </c>
      <c r="I393" s="5" t="s">
        <v>24</v>
      </c>
      <c r="J393" s="5" t="s">
        <v>60</v>
      </c>
      <c r="K393" s="6" t="s">
        <v>61</v>
      </c>
      <c r="L393" s="6" t="s">
        <v>62</v>
      </c>
      <c r="M393" s="6" t="s">
        <v>63</v>
      </c>
      <c r="N393" s="6" t="s">
        <v>64</v>
      </c>
      <c r="O393" s="12">
        <v>10</v>
      </c>
      <c r="P393" s="12">
        <v>3500</v>
      </c>
      <c r="Q393" s="14">
        <v>12</v>
      </c>
      <c r="R393" s="5">
        <v>18</v>
      </c>
      <c r="S393" s="4">
        <v>36344</v>
      </c>
      <c r="T393" s="4" t="s">
        <v>54</v>
      </c>
      <c r="U393" s="6" t="s">
        <v>195</v>
      </c>
      <c r="V393" s="2" t="s">
        <v>138</v>
      </c>
    </row>
    <row r="394" spans="1:22" x14ac:dyDescent="0.35">
      <c r="A394" s="1" t="s">
        <v>1495</v>
      </c>
      <c r="B394" s="10">
        <v>45417</v>
      </c>
      <c r="C394" s="2" t="s">
        <v>262</v>
      </c>
      <c r="D394" s="2" t="s">
        <v>1496</v>
      </c>
      <c r="E394" s="2" t="s">
        <v>306</v>
      </c>
      <c r="F394" s="2" t="s">
        <v>1497</v>
      </c>
      <c r="G394" s="2" t="s">
        <v>349</v>
      </c>
      <c r="H394" s="1" t="s">
        <v>209</v>
      </c>
      <c r="I394" s="1" t="s">
        <v>210</v>
      </c>
      <c r="J394" s="1" t="s">
        <v>354</v>
      </c>
      <c r="K394" s="2" t="s">
        <v>355</v>
      </c>
      <c r="L394" s="2" t="s">
        <v>62</v>
      </c>
      <c r="M394" s="2" t="s">
        <v>356</v>
      </c>
      <c r="N394" s="2" t="s">
        <v>357</v>
      </c>
      <c r="O394" s="12">
        <v>8</v>
      </c>
      <c r="P394" s="12">
        <v>4500</v>
      </c>
      <c r="Q394" s="13">
        <v>8</v>
      </c>
      <c r="R394" s="1">
        <v>5</v>
      </c>
      <c r="S394" s="4">
        <v>34776</v>
      </c>
      <c r="T394" s="4" t="s">
        <v>65</v>
      </c>
      <c r="U394" s="3" t="s">
        <v>116</v>
      </c>
      <c r="V394" s="2" t="s">
        <v>95</v>
      </c>
    </row>
    <row r="395" spans="1:22" x14ac:dyDescent="0.35">
      <c r="A395" s="5" t="s">
        <v>1498</v>
      </c>
      <c r="B395" s="10">
        <v>45320</v>
      </c>
      <c r="C395" s="6" t="s">
        <v>1765</v>
      </c>
      <c r="D395" s="6" t="s">
        <v>1499</v>
      </c>
      <c r="E395" s="6" t="s">
        <v>46</v>
      </c>
      <c r="F395" s="6" t="s">
        <v>1500</v>
      </c>
      <c r="G395" s="6" t="s">
        <v>70</v>
      </c>
      <c r="H395" s="5" t="s">
        <v>70</v>
      </c>
      <c r="I395" s="5" t="s">
        <v>71</v>
      </c>
      <c r="J395" s="5" t="s">
        <v>39</v>
      </c>
      <c r="K395" s="6" t="s">
        <v>40</v>
      </c>
      <c r="L395" s="6" t="s">
        <v>41</v>
      </c>
      <c r="M395" s="6" t="s">
        <v>42</v>
      </c>
      <c r="N395" s="6" t="s">
        <v>43</v>
      </c>
      <c r="O395" s="12">
        <v>8</v>
      </c>
      <c r="P395" s="12">
        <v>25000</v>
      </c>
      <c r="Q395" s="14">
        <v>12</v>
      </c>
      <c r="R395" s="5">
        <v>3</v>
      </c>
      <c r="S395" s="4">
        <v>181280</v>
      </c>
      <c r="T395" s="4" t="s">
        <v>1793</v>
      </c>
      <c r="U395" s="3" t="s">
        <v>87</v>
      </c>
      <c r="V395" s="2" t="s">
        <v>95</v>
      </c>
    </row>
    <row r="396" spans="1:22" x14ac:dyDescent="0.35">
      <c r="A396" s="1" t="s">
        <v>1501</v>
      </c>
      <c r="B396" s="10">
        <v>45392</v>
      </c>
      <c r="C396" s="2" t="s">
        <v>76</v>
      </c>
      <c r="D396" s="2" t="s">
        <v>1502</v>
      </c>
      <c r="E396" s="2" t="s">
        <v>274</v>
      </c>
      <c r="F396" s="2" t="s">
        <v>1503</v>
      </c>
      <c r="G396" s="2" t="s">
        <v>80</v>
      </c>
      <c r="H396" s="1" t="s">
        <v>81</v>
      </c>
      <c r="I396" s="1" t="s">
        <v>24</v>
      </c>
      <c r="J396" s="1" t="s">
        <v>25</v>
      </c>
      <c r="K396" s="2" t="s">
        <v>26</v>
      </c>
      <c r="L396" s="2" t="s">
        <v>27</v>
      </c>
      <c r="M396" s="2" t="s">
        <v>28</v>
      </c>
      <c r="N396" s="2" t="s">
        <v>29</v>
      </c>
      <c r="O396" s="12">
        <v>2</v>
      </c>
      <c r="P396" s="12">
        <v>450</v>
      </c>
      <c r="Q396" s="13">
        <v>25</v>
      </c>
      <c r="R396" s="1">
        <v>5</v>
      </c>
      <c r="S396" s="4">
        <v>708.75</v>
      </c>
      <c r="T396" s="4" t="s">
        <v>54</v>
      </c>
      <c r="U396" s="3" t="s">
        <v>137</v>
      </c>
      <c r="V396" s="2" t="s">
        <v>95</v>
      </c>
    </row>
    <row r="397" spans="1:22" x14ac:dyDescent="0.35">
      <c r="A397" s="5" t="s">
        <v>1504</v>
      </c>
      <c r="B397" s="10">
        <v>45295</v>
      </c>
      <c r="C397" s="6" t="s">
        <v>32</v>
      </c>
      <c r="D397" s="6" t="s">
        <v>1505</v>
      </c>
      <c r="E397" s="6" t="s">
        <v>325</v>
      </c>
      <c r="F397" s="6" t="s">
        <v>1506</v>
      </c>
      <c r="G397" s="6" t="s">
        <v>349</v>
      </c>
      <c r="H397" s="5" t="s">
        <v>209</v>
      </c>
      <c r="I397" s="5" t="s">
        <v>210</v>
      </c>
      <c r="J397" s="5" t="s">
        <v>49</v>
      </c>
      <c r="K397" s="6" t="s">
        <v>50</v>
      </c>
      <c r="L397" s="6" t="s">
        <v>51</v>
      </c>
      <c r="M397" s="6" t="s">
        <v>52</v>
      </c>
      <c r="N397" s="6" t="s">
        <v>53</v>
      </c>
      <c r="O397" s="12">
        <v>1</v>
      </c>
      <c r="P397" s="12">
        <v>28000</v>
      </c>
      <c r="Q397" s="14">
        <v>12</v>
      </c>
      <c r="R397" s="5">
        <v>18</v>
      </c>
      <c r="S397" s="4">
        <v>29075.199999999997</v>
      </c>
      <c r="T397" s="4" t="s">
        <v>1794</v>
      </c>
      <c r="U397" s="6" t="s">
        <v>87</v>
      </c>
      <c r="V397" s="2" t="s">
        <v>138</v>
      </c>
    </row>
    <row r="398" spans="1:22" x14ac:dyDescent="0.35">
      <c r="A398" s="1" t="s">
        <v>1507</v>
      </c>
      <c r="B398" s="10">
        <v>45300</v>
      </c>
      <c r="C398" s="2" t="s">
        <v>1776</v>
      </c>
      <c r="D398" s="2" t="s">
        <v>1508</v>
      </c>
      <c r="E398" s="2" t="s">
        <v>1258</v>
      </c>
      <c r="F398" s="2" t="s">
        <v>1509</v>
      </c>
      <c r="G398" s="2" t="s">
        <v>237</v>
      </c>
      <c r="H398" s="1" t="s">
        <v>23</v>
      </c>
      <c r="I398" s="1" t="s">
        <v>24</v>
      </c>
      <c r="J398" s="1" t="s">
        <v>300</v>
      </c>
      <c r="K398" s="2" t="s">
        <v>301</v>
      </c>
      <c r="L398" s="2" t="s">
        <v>62</v>
      </c>
      <c r="M398" s="2" t="s">
        <v>302</v>
      </c>
      <c r="N398" s="2" t="s">
        <v>303</v>
      </c>
      <c r="O398" s="12">
        <v>9</v>
      </c>
      <c r="P398" s="12">
        <v>4800</v>
      </c>
      <c r="Q398" s="13">
        <v>12</v>
      </c>
      <c r="R398" s="1">
        <v>18</v>
      </c>
      <c r="S398" s="4">
        <v>44858.879999999997</v>
      </c>
      <c r="T398" s="4" t="s">
        <v>94</v>
      </c>
      <c r="U398" s="2" t="s">
        <v>195</v>
      </c>
      <c r="V398" s="2" t="s">
        <v>95</v>
      </c>
    </row>
    <row r="399" spans="1:22" x14ac:dyDescent="0.35">
      <c r="A399" s="5" t="s">
        <v>1510</v>
      </c>
      <c r="B399" s="10">
        <v>45338</v>
      </c>
      <c r="C399" s="6" t="s">
        <v>56</v>
      </c>
      <c r="D399" s="6" t="s">
        <v>1511</v>
      </c>
      <c r="E399" s="6" t="s">
        <v>522</v>
      </c>
      <c r="F399" s="6" t="s">
        <v>1512</v>
      </c>
      <c r="G399" s="6" t="s">
        <v>109</v>
      </c>
      <c r="H399" s="5" t="s">
        <v>48</v>
      </c>
      <c r="I399" s="5" t="s">
        <v>24</v>
      </c>
      <c r="J399" s="5" t="s">
        <v>257</v>
      </c>
      <c r="K399" s="6" t="s">
        <v>258</v>
      </c>
      <c r="L399" s="6" t="s">
        <v>62</v>
      </c>
      <c r="M399" s="6" t="s">
        <v>259</v>
      </c>
      <c r="N399" s="6" t="s">
        <v>260</v>
      </c>
      <c r="O399" s="12">
        <v>10</v>
      </c>
      <c r="P399" s="12">
        <v>3500</v>
      </c>
      <c r="Q399" s="14">
        <v>10</v>
      </c>
      <c r="R399" s="5">
        <v>5</v>
      </c>
      <c r="S399" s="4">
        <v>33075</v>
      </c>
      <c r="T399" s="4" t="s">
        <v>54</v>
      </c>
      <c r="U399" s="3" t="s">
        <v>137</v>
      </c>
      <c r="V399" s="2" t="s">
        <v>138</v>
      </c>
    </row>
    <row r="400" spans="1:22" x14ac:dyDescent="0.35">
      <c r="A400" s="1" t="s">
        <v>1513</v>
      </c>
      <c r="B400" s="10">
        <v>45450</v>
      </c>
      <c r="C400" s="2" t="s">
        <v>1784</v>
      </c>
      <c r="D400" s="2" t="s">
        <v>1514</v>
      </c>
      <c r="E400" s="2" t="s">
        <v>1789</v>
      </c>
      <c r="F400" s="2" t="s">
        <v>1515</v>
      </c>
      <c r="G400" s="2" t="s">
        <v>70</v>
      </c>
      <c r="H400" s="1" t="s">
        <v>70</v>
      </c>
      <c r="I400" s="1" t="s">
        <v>71</v>
      </c>
      <c r="J400" s="1" t="s">
        <v>172</v>
      </c>
      <c r="K400" s="2" t="s">
        <v>173</v>
      </c>
      <c r="L400" s="2" t="s">
        <v>84</v>
      </c>
      <c r="M400" s="2" t="s">
        <v>174</v>
      </c>
      <c r="N400" s="2" t="s">
        <v>175</v>
      </c>
      <c r="O400" s="12">
        <v>1</v>
      </c>
      <c r="P400" s="12">
        <v>299</v>
      </c>
      <c r="Q400" s="13">
        <v>8</v>
      </c>
      <c r="R400" s="1">
        <v>18</v>
      </c>
      <c r="S400" s="4">
        <v>324.59439999999995</v>
      </c>
      <c r="T400" s="4" t="s">
        <v>94</v>
      </c>
      <c r="U400" s="3" t="s">
        <v>137</v>
      </c>
      <c r="V400" s="2" t="s">
        <v>95</v>
      </c>
    </row>
    <row r="401" spans="1:22" x14ac:dyDescent="0.35">
      <c r="A401" s="5" t="s">
        <v>1516</v>
      </c>
      <c r="B401" s="10">
        <v>45328</v>
      </c>
      <c r="C401" s="6" t="s">
        <v>1777</v>
      </c>
      <c r="D401" s="6" t="s">
        <v>1517</v>
      </c>
      <c r="E401" s="6" t="s">
        <v>1518</v>
      </c>
      <c r="F401" s="6" t="s">
        <v>1519</v>
      </c>
      <c r="G401" s="6" t="s">
        <v>237</v>
      </c>
      <c r="H401" s="5" t="s">
        <v>23</v>
      </c>
      <c r="I401" s="5" t="s">
        <v>24</v>
      </c>
      <c r="J401" s="5" t="s">
        <v>354</v>
      </c>
      <c r="K401" s="6" t="s">
        <v>355</v>
      </c>
      <c r="L401" s="6" t="s">
        <v>62</v>
      </c>
      <c r="M401" s="6" t="s">
        <v>356</v>
      </c>
      <c r="N401" s="6" t="s">
        <v>357</v>
      </c>
      <c r="O401" s="12">
        <v>2</v>
      </c>
      <c r="P401" s="12">
        <v>4500</v>
      </c>
      <c r="Q401" s="14">
        <v>5</v>
      </c>
      <c r="R401" s="5">
        <v>5</v>
      </c>
      <c r="S401" s="4">
        <v>8977.5</v>
      </c>
      <c r="T401" s="4" t="s">
        <v>1793</v>
      </c>
      <c r="U401" s="6" t="s">
        <v>30</v>
      </c>
      <c r="V401" s="2" t="s">
        <v>138</v>
      </c>
    </row>
    <row r="402" spans="1:22" x14ac:dyDescent="0.35">
      <c r="A402" s="1" t="s">
        <v>1520</v>
      </c>
      <c r="B402" s="10">
        <v>45358</v>
      </c>
      <c r="C402" s="2" t="s">
        <v>1768</v>
      </c>
      <c r="D402" s="2" t="s">
        <v>1521</v>
      </c>
      <c r="E402" s="2" t="s">
        <v>1122</v>
      </c>
      <c r="F402" s="2" t="s">
        <v>1522</v>
      </c>
      <c r="G402" s="2" t="s">
        <v>349</v>
      </c>
      <c r="H402" s="1" t="s">
        <v>209</v>
      </c>
      <c r="I402" s="1" t="s">
        <v>210</v>
      </c>
      <c r="J402" s="1" t="s">
        <v>342</v>
      </c>
      <c r="K402" s="2" t="s">
        <v>343</v>
      </c>
      <c r="L402" s="2" t="s">
        <v>84</v>
      </c>
      <c r="M402" s="2" t="s">
        <v>244</v>
      </c>
      <c r="N402" s="2" t="s">
        <v>344</v>
      </c>
      <c r="O402" s="12">
        <v>4</v>
      </c>
      <c r="P402" s="12">
        <v>2200</v>
      </c>
      <c r="Q402" s="13">
        <v>0</v>
      </c>
      <c r="R402" s="1">
        <v>12</v>
      </c>
      <c r="S402" s="4">
        <v>9856.0000000000018</v>
      </c>
      <c r="T402" s="4" t="s">
        <v>65</v>
      </c>
      <c r="U402" s="2" t="s">
        <v>30</v>
      </c>
      <c r="V402" s="2" t="s">
        <v>138</v>
      </c>
    </row>
    <row r="403" spans="1:22" x14ac:dyDescent="0.35">
      <c r="A403" s="5" t="s">
        <v>1523</v>
      </c>
      <c r="B403" s="10">
        <v>45299</v>
      </c>
      <c r="C403" s="6" t="s">
        <v>1778</v>
      </c>
      <c r="D403" s="6" t="s">
        <v>1524</v>
      </c>
      <c r="E403" s="6" t="s">
        <v>367</v>
      </c>
      <c r="F403" s="6" t="s">
        <v>1525</v>
      </c>
      <c r="G403" s="6" t="s">
        <v>315</v>
      </c>
      <c r="H403" s="5" t="s">
        <v>256</v>
      </c>
      <c r="I403" s="5" t="s">
        <v>24</v>
      </c>
      <c r="J403" s="5" t="s">
        <v>300</v>
      </c>
      <c r="K403" s="6" t="s">
        <v>301</v>
      </c>
      <c r="L403" s="6" t="s">
        <v>62</v>
      </c>
      <c r="M403" s="6" t="s">
        <v>302</v>
      </c>
      <c r="N403" s="6" t="s">
        <v>303</v>
      </c>
      <c r="O403" s="12">
        <v>8</v>
      </c>
      <c r="P403" s="12">
        <v>4800</v>
      </c>
      <c r="Q403" s="14">
        <v>12</v>
      </c>
      <c r="R403" s="5">
        <v>18</v>
      </c>
      <c r="S403" s="4">
        <v>39874.559999999998</v>
      </c>
      <c r="T403" s="4" t="s">
        <v>294</v>
      </c>
      <c r="U403" s="3" t="s">
        <v>137</v>
      </c>
      <c r="V403" s="2" t="s">
        <v>95</v>
      </c>
    </row>
    <row r="404" spans="1:22" x14ac:dyDescent="0.35">
      <c r="A404" s="1" t="s">
        <v>1526</v>
      </c>
      <c r="B404" s="10">
        <v>45409</v>
      </c>
      <c r="C404" s="2" t="s">
        <v>1773</v>
      </c>
      <c r="D404" s="2" t="s">
        <v>1527</v>
      </c>
      <c r="E404" s="2" t="s">
        <v>583</v>
      </c>
      <c r="F404" s="2" t="s">
        <v>1528</v>
      </c>
      <c r="G404" s="2" t="s">
        <v>237</v>
      </c>
      <c r="H404" s="1" t="s">
        <v>23</v>
      </c>
      <c r="I404" s="1" t="s">
        <v>210</v>
      </c>
      <c r="J404" s="1" t="s">
        <v>276</v>
      </c>
      <c r="K404" s="2" t="s">
        <v>277</v>
      </c>
      <c r="L404" s="2" t="s">
        <v>51</v>
      </c>
      <c r="M404" s="2" t="s">
        <v>102</v>
      </c>
      <c r="N404" s="2" t="s">
        <v>278</v>
      </c>
      <c r="O404" s="12">
        <v>6</v>
      </c>
      <c r="P404" s="12">
        <v>1500</v>
      </c>
      <c r="Q404" s="13">
        <v>20</v>
      </c>
      <c r="R404" s="1">
        <v>18</v>
      </c>
      <c r="S404" s="4">
        <v>8496</v>
      </c>
      <c r="T404" s="4" t="s">
        <v>54</v>
      </c>
      <c r="U404" s="3" t="s">
        <v>116</v>
      </c>
      <c r="V404" s="2" t="s">
        <v>95</v>
      </c>
    </row>
    <row r="405" spans="1:22" x14ac:dyDescent="0.35">
      <c r="A405" s="5" t="s">
        <v>1529</v>
      </c>
      <c r="B405" s="10">
        <v>45419</v>
      </c>
      <c r="C405" s="6" t="s">
        <v>525</v>
      </c>
      <c r="D405" s="6" t="s">
        <v>1530</v>
      </c>
      <c r="E405" s="6" t="s">
        <v>866</v>
      </c>
      <c r="F405" s="6" t="s">
        <v>1531</v>
      </c>
      <c r="G405" s="6" t="s">
        <v>230</v>
      </c>
      <c r="H405" s="5" t="s">
        <v>231</v>
      </c>
      <c r="I405" s="5" t="s">
        <v>24</v>
      </c>
      <c r="J405" s="5" t="s">
        <v>72</v>
      </c>
      <c r="K405" s="6" t="s">
        <v>73</v>
      </c>
      <c r="L405" s="6" t="s">
        <v>51</v>
      </c>
      <c r="M405" s="6" t="s">
        <v>52</v>
      </c>
      <c r="N405" s="6" t="s">
        <v>74</v>
      </c>
      <c r="O405" s="12">
        <v>9</v>
      </c>
      <c r="P405" s="12">
        <v>14000</v>
      </c>
      <c r="Q405" s="14">
        <v>20</v>
      </c>
      <c r="R405" s="5">
        <v>18</v>
      </c>
      <c r="S405" s="4">
        <v>118944</v>
      </c>
      <c r="T405" s="4" t="s">
        <v>294</v>
      </c>
      <c r="U405" s="6" t="s">
        <v>87</v>
      </c>
      <c r="V405" s="2" t="s">
        <v>138</v>
      </c>
    </row>
    <row r="406" spans="1:22" x14ac:dyDescent="0.35">
      <c r="A406" s="1" t="s">
        <v>1532</v>
      </c>
      <c r="B406" s="10">
        <v>45388</v>
      </c>
      <c r="C406" s="2" t="s">
        <v>262</v>
      </c>
      <c r="D406" s="2" t="s">
        <v>1533</v>
      </c>
      <c r="E406" s="2" t="s">
        <v>792</v>
      </c>
      <c r="F406" s="2" t="s">
        <v>1534</v>
      </c>
      <c r="G406" s="2" t="s">
        <v>109</v>
      </c>
      <c r="H406" s="1" t="s">
        <v>48</v>
      </c>
      <c r="I406" s="1" t="s">
        <v>24</v>
      </c>
      <c r="J406" s="1" t="s">
        <v>250</v>
      </c>
      <c r="K406" s="2" t="s">
        <v>251</v>
      </c>
      <c r="L406" s="2" t="s">
        <v>84</v>
      </c>
      <c r="M406" s="2" t="s">
        <v>85</v>
      </c>
      <c r="N406" s="2" t="s">
        <v>252</v>
      </c>
      <c r="O406" s="12">
        <v>1</v>
      </c>
      <c r="P406" s="12">
        <v>42000</v>
      </c>
      <c r="Q406" s="13">
        <v>15</v>
      </c>
      <c r="R406" s="1">
        <v>18</v>
      </c>
      <c r="S406" s="4">
        <v>42126</v>
      </c>
      <c r="T406" s="4" t="s">
        <v>1793</v>
      </c>
      <c r="U406" s="2" t="s">
        <v>87</v>
      </c>
      <c r="V406" s="2" t="s">
        <v>95</v>
      </c>
    </row>
    <row r="407" spans="1:22" x14ac:dyDescent="0.35">
      <c r="A407" s="5" t="s">
        <v>1535</v>
      </c>
      <c r="B407" s="10">
        <v>45419</v>
      </c>
      <c r="C407" s="6" t="s">
        <v>537</v>
      </c>
      <c r="D407" s="6" t="s">
        <v>1536</v>
      </c>
      <c r="E407" s="6" t="s">
        <v>870</v>
      </c>
      <c r="F407" s="6" t="s">
        <v>1537</v>
      </c>
      <c r="G407" s="6" t="s">
        <v>114</v>
      </c>
      <c r="H407" s="5" t="s">
        <v>115</v>
      </c>
      <c r="I407" s="5" t="s">
        <v>71</v>
      </c>
      <c r="J407" s="5" t="s">
        <v>100</v>
      </c>
      <c r="K407" s="6" t="s">
        <v>101</v>
      </c>
      <c r="L407" s="6" t="s">
        <v>51</v>
      </c>
      <c r="M407" s="6" t="s">
        <v>102</v>
      </c>
      <c r="N407" s="6" t="s">
        <v>103</v>
      </c>
      <c r="O407" s="12">
        <v>1</v>
      </c>
      <c r="P407" s="12">
        <v>2800</v>
      </c>
      <c r="Q407" s="14">
        <v>15</v>
      </c>
      <c r="R407" s="5">
        <v>18</v>
      </c>
      <c r="S407" s="4">
        <v>2808.3999999999996</v>
      </c>
      <c r="T407" s="4" t="s">
        <v>1793</v>
      </c>
      <c r="U407" s="6" t="s">
        <v>116</v>
      </c>
      <c r="V407" s="2" t="s">
        <v>138</v>
      </c>
    </row>
    <row r="408" spans="1:22" x14ac:dyDescent="0.35">
      <c r="A408" s="1" t="s">
        <v>1538</v>
      </c>
      <c r="B408" s="10">
        <v>45365</v>
      </c>
      <c r="C408" s="2" t="s">
        <v>1773</v>
      </c>
      <c r="D408" s="2" t="s">
        <v>1539</v>
      </c>
      <c r="E408" s="2" t="s">
        <v>429</v>
      </c>
      <c r="F408" s="2" t="s">
        <v>1540</v>
      </c>
      <c r="G408" s="2" t="s">
        <v>315</v>
      </c>
      <c r="H408" s="1" t="s">
        <v>256</v>
      </c>
      <c r="I408" s="1" t="s">
        <v>24</v>
      </c>
      <c r="J408" s="1" t="s">
        <v>354</v>
      </c>
      <c r="K408" s="2" t="s">
        <v>355</v>
      </c>
      <c r="L408" s="2" t="s">
        <v>62</v>
      </c>
      <c r="M408" s="2" t="s">
        <v>356</v>
      </c>
      <c r="N408" s="2" t="s">
        <v>357</v>
      </c>
      <c r="O408" s="12">
        <v>3</v>
      </c>
      <c r="P408" s="12">
        <v>4500</v>
      </c>
      <c r="Q408" s="13">
        <v>80</v>
      </c>
      <c r="R408" s="1">
        <v>5</v>
      </c>
      <c r="S408" s="4">
        <v>2834.9999999999995</v>
      </c>
      <c r="T408" s="4" t="s">
        <v>1793</v>
      </c>
      <c r="U408" s="2" t="s">
        <v>87</v>
      </c>
      <c r="V408" s="2" t="s">
        <v>95</v>
      </c>
    </row>
    <row r="409" spans="1:22" x14ac:dyDescent="0.35">
      <c r="A409" s="5" t="s">
        <v>1541</v>
      </c>
      <c r="B409" s="10">
        <v>45418</v>
      </c>
      <c r="C409" s="6" t="s">
        <v>1776</v>
      </c>
      <c r="D409" s="6" t="s">
        <v>1542</v>
      </c>
      <c r="E409" s="6" t="s">
        <v>804</v>
      </c>
      <c r="F409" s="6" t="s">
        <v>1543</v>
      </c>
      <c r="G409" s="6" t="s">
        <v>230</v>
      </c>
      <c r="H409" s="5" t="s">
        <v>231</v>
      </c>
      <c r="I409" s="5" t="s">
        <v>24</v>
      </c>
      <c r="J409" s="5" t="s">
        <v>82</v>
      </c>
      <c r="K409" s="6" t="s">
        <v>83</v>
      </c>
      <c r="L409" s="6" t="s">
        <v>84</v>
      </c>
      <c r="M409" s="6" t="s">
        <v>85</v>
      </c>
      <c r="N409" s="6" t="s">
        <v>86</v>
      </c>
      <c r="O409" s="12">
        <v>5</v>
      </c>
      <c r="P409" s="12">
        <v>12000</v>
      </c>
      <c r="Q409" s="14">
        <v>0</v>
      </c>
      <c r="R409" s="5">
        <v>18</v>
      </c>
      <c r="S409" s="4">
        <v>70800</v>
      </c>
      <c r="T409" s="4" t="s">
        <v>54</v>
      </c>
      <c r="U409" s="6" t="s">
        <v>137</v>
      </c>
      <c r="V409" s="2" t="s">
        <v>95</v>
      </c>
    </row>
    <row r="410" spans="1:22" x14ac:dyDescent="0.35">
      <c r="A410" s="1" t="s">
        <v>1544</v>
      </c>
      <c r="B410" s="10">
        <v>45298</v>
      </c>
      <c r="C410" s="2" t="s">
        <v>1771</v>
      </c>
      <c r="D410" s="2" t="s">
        <v>1545</v>
      </c>
      <c r="E410" s="2" t="s">
        <v>464</v>
      </c>
      <c r="F410" s="2" t="s">
        <v>1546</v>
      </c>
      <c r="G410" s="2" t="s">
        <v>80</v>
      </c>
      <c r="H410" s="1" t="s">
        <v>81</v>
      </c>
      <c r="I410" s="1" t="s">
        <v>24</v>
      </c>
      <c r="J410" s="1" t="s">
        <v>242</v>
      </c>
      <c r="K410" s="2" t="s">
        <v>243</v>
      </c>
      <c r="L410" s="2" t="s">
        <v>84</v>
      </c>
      <c r="M410" s="2" t="s">
        <v>244</v>
      </c>
      <c r="N410" s="2" t="s">
        <v>245</v>
      </c>
      <c r="O410" s="12">
        <v>3</v>
      </c>
      <c r="P410" s="12">
        <v>0</v>
      </c>
      <c r="Q410" s="13">
        <v>15</v>
      </c>
      <c r="R410" s="1">
        <v>18</v>
      </c>
      <c r="S410" s="4">
        <v>0</v>
      </c>
      <c r="T410" s="4" t="s">
        <v>294</v>
      </c>
      <c r="U410" s="2" t="s">
        <v>137</v>
      </c>
      <c r="V410" s="2" t="s">
        <v>95</v>
      </c>
    </row>
    <row r="411" spans="1:22" x14ac:dyDescent="0.35">
      <c r="A411" s="5" t="s">
        <v>1547</v>
      </c>
      <c r="B411" s="10">
        <v>45397</v>
      </c>
      <c r="C411" s="6" t="s">
        <v>525</v>
      </c>
      <c r="D411" s="6" t="s">
        <v>1548</v>
      </c>
      <c r="E411" s="6" t="s">
        <v>1549</v>
      </c>
      <c r="F411" s="6" t="s">
        <v>1550</v>
      </c>
      <c r="G411" s="6" t="s">
        <v>150</v>
      </c>
      <c r="H411" s="5" t="s">
        <v>93</v>
      </c>
      <c r="I411" s="5" t="s">
        <v>38</v>
      </c>
      <c r="J411" s="5" t="s">
        <v>266</v>
      </c>
      <c r="K411" s="6" t="s">
        <v>267</v>
      </c>
      <c r="L411" s="6" t="s">
        <v>62</v>
      </c>
      <c r="M411" s="6" t="s">
        <v>63</v>
      </c>
      <c r="N411" s="6" t="s">
        <v>268</v>
      </c>
      <c r="O411" s="12">
        <v>8</v>
      </c>
      <c r="P411" s="12">
        <v>8500</v>
      </c>
      <c r="Q411" s="14">
        <v>15</v>
      </c>
      <c r="R411" s="5">
        <v>18</v>
      </c>
      <c r="S411" s="4">
        <v>68204</v>
      </c>
      <c r="T411" s="4" t="s">
        <v>294</v>
      </c>
      <c r="U411" s="6" t="s">
        <v>137</v>
      </c>
      <c r="V411" s="2" t="s">
        <v>95</v>
      </c>
    </row>
    <row r="412" spans="1:22" x14ac:dyDescent="0.35">
      <c r="A412" s="1" t="s">
        <v>1551</v>
      </c>
      <c r="B412" s="10">
        <v>45369</v>
      </c>
      <c r="C412" s="2" t="s">
        <v>346</v>
      </c>
      <c r="D412" s="2" t="s">
        <v>1552</v>
      </c>
      <c r="E412" s="2" t="s">
        <v>721</v>
      </c>
      <c r="F412" s="2" t="s">
        <v>1553</v>
      </c>
      <c r="G412" s="2" t="s">
        <v>150</v>
      </c>
      <c r="H412" s="1" t="s">
        <v>93</v>
      </c>
      <c r="I412" s="1" t="s">
        <v>38</v>
      </c>
      <c r="J412" s="1" t="s">
        <v>250</v>
      </c>
      <c r="K412" s="2" t="s">
        <v>251</v>
      </c>
      <c r="L412" s="2" t="s">
        <v>84</v>
      </c>
      <c r="M412" s="2" t="s">
        <v>85</v>
      </c>
      <c r="N412" s="2" t="s">
        <v>252</v>
      </c>
      <c r="O412" s="12">
        <v>5</v>
      </c>
      <c r="P412" s="12">
        <v>42000</v>
      </c>
      <c r="Q412" s="13">
        <v>5</v>
      </c>
      <c r="R412" s="1">
        <v>18</v>
      </c>
      <c r="S412" s="4">
        <v>235410</v>
      </c>
      <c r="T412" s="4" t="s">
        <v>1793</v>
      </c>
      <c r="U412" s="2" t="s">
        <v>30</v>
      </c>
      <c r="V412" s="2" t="s">
        <v>95</v>
      </c>
    </row>
    <row r="413" spans="1:22" x14ac:dyDescent="0.35">
      <c r="A413" s="5" t="s">
        <v>1554</v>
      </c>
      <c r="B413" s="10">
        <v>45470</v>
      </c>
      <c r="C413" s="6" t="s">
        <v>177</v>
      </c>
      <c r="D413" s="6" t="s">
        <v>1555</v>
      </c>
      <c r="E413" s="6" t="s">
        <v>179</v>
      </c>
      <c r="F413" s="6" t="s">
        <v>1556</v>
      </c>
      <c r="G413" s="6" t="s">
        <v>166</v>
      </c>
      <c r="H413" s="5" t="s">
        <v>167</v>
      </c>
      <c r="I413" s="5" t="s">
        <v>71</v>
      </c>
      <c r="J413" s="5" t="s">
        <v>215</v>
      </c>
      <c r="K413" s="6" t="s">
        <v>216</v>
      </c>
      <c r="L413" s="6" t="s">
        <v>27</v>
      </c>
      <c r="M413" s="6" t="s">
        <v>127</v>
      </c>
      <c r="N413" s="6" t="s">
        <v>217</v>
      </c>
      <c r="O413" s="12">
        <v>8</v>
      </c>
      <c r="P413" s="12">
        <v>40</v>
      </c>
      <c r="Q413" s="14">
        <v>10</v>
      </c>
      <c r="R413" s="5">
        <v>5</v>
      </c>
      <c r="S413" s="4">
        <v>302.40000000000003</v>
      </c>
      <c r="T413" s="4" t="s">
        <v>65</v>
      </c>
      <c r="U413" s="6" t="s">
        <v>137</v>
      </c>
      <c r="V413" s="2" t="s">
        <v>95</v>
      </c>
    </row>
    <row r="414" spans="1:22" x14ac:dyDescent="0.35">
      <c r="A414" s="1" t="s">
        <v>1557</v>
      </c>
      <c r="B414" s="10">
        <v>45298</v>
      </c>
      <c r="C414" s="2" t="s">
        <v>177</v>
      </c>
      <c r="D414" s="2" t="s">
        <v>1558</v>
      </c>
      <c r="E414" s="2" t="s">
        <v>207</v>
      </c>
      <c r="F414" s="2" t="s">
        <v>1559</v>
      </c>
      <c r="G414" s="2" t="s">
        <v>36</v>
      </c>
      <c r="H414" s="1" t="s">
        <v>37</v>
      </c>
      <c r="I414" s="1" t="s">
        <v>38</v>
      </c>
      <c r="J414" s="1" t="s">
        <v>257</v>
      </c>
      <c r="K414" s="2" t="s">
        <v>258</v>
      </c>
      <c r="L414" s="2" t="s">
        <v>62</v>
      </c>
      <c r="M414" s="2" t="s">
        <v>259</v>
      </c>
      <c r="N414" s="2" t="s">
        <v>260</v>
      </c>
      <c r="O414" s="12">
        <v>1</v>
      </c>
      <c r="P414" s="12">
        <v>3500</v>
      </c>
      <c r="Q414" s="13">
        <v>8</v>
      </c>
      <c r="R414" s="1">
        <v>5</v>
      </c>
      <c r="S414" s="4">
        <v>3381</v>
      </c>
      <c r="T414" s="4" t="s">
        <v>1793</v>
      </c>
      <c r="U414" s="3" t="s">
        <v>87</v>
      </c>
      <c r="V414" s="2" t="s">
        <v>95</v>
      </c>
    </row>
    <row r="415" spans="1:22" x14ac:dyDescent="0.35">
      <c r="A415" s="5" t="s">
        <v>1560</v>
      </c>
      <c r="B415" s="10">
        <v>45358</v>
      </c>
      <c r="C415" s="6" t="s">
        <v>1775</v>
      </c>
      <c r="D415" s="6" t="s">
        <v>1561</v>
      </c>
      <c r="E415" s="6" t="s">
        <v>1562</v>
      </c>
      <c r="F415" s="6" t="s">
        <v>1563</v>
      </c>
      <c r="G415" s="6" t="s">
        <v>166</v>
      </c>
      <c r="H415" s="5" t="s">
        <v>167</v>
      </c>
      <c r="I415" s="5" t="s">
        <v>71</v>
      </c>
      <c r="J415" s="5" t="s">
        <v>72</v>
      </c>
      <c r="K415" s="6" t="s">
        <v>73</v>
      </c>
      <c r="L415" s="6" t="s">
        <v>51</v>
      </c>
      <c r="M415" s="6" t="s">
        <v>52</v>
      </c>
      <c r="N415" s="6" t="s">
        <v>74</v>
      </c>
      <c r="O415" s="12">
        <v>1</v>
      </c>
      <c r="P415" s="12">
        <v>14000</v>
      </c>
      <c r="Q415" s="14">
        <v>12</v>
      </c>
      <c r="R415" s="5">
        <v>18</v>
      </c>
      <c r="S415" s="4">
        <v>14537.599999999999</v>
      </c>
      <c r="T415" s="4" t="s">
        <v>294</v>
      </c>
      <c r="U415" s="3" t="s">
        <v>116</v>
      </c>
      <c r="V415" s="2" t="s">
        <v>138</v>
      </c>
    </row>
    <row r="416" spans="1:22" x14ac:dyDescent="0.35">
      <c r="A416" s="1" t="s">
        <v>1564</v>
      </c>
      <c r="B416" s="10">
        <v>45410</v>
      </c>
      <c r="C416" s="2" t="s">
        <v>467</v>
      </c>
      <c r="D416" s="2" t="s">
        <v>1565</v>
      </c>
      <c r="E416" s="2" t="s">
        <v>469</v>
      </c>
      <c r="F416" s="3" t="s">
        <v>1789</v>
      </c>
      <c r="G416" s="3" t="s">
        <v>36</v>
      </c>
      <c r="H416" s="1" t="s">
        <v>37</v>
      </c>
      <c r="I416" s="1" t="s">
        <v>38</v>
      </c>
      <c r="J416" s="1" t="s">
        <v>133</v>
      </c>
      <c r="K416" s="2" t="s">
        <v>134</v>
      </c>
      <c r="L416" s="2" t="s">
        <v>51</v>
      </c>
      <c r="M416" s="2" t="s">
        <v>135</v>
      </c>
      <c r="N416" s="2" t="s">
        <v>136</v>
      </c>
      <c r="O416" s="12">
        <v>7</v>
      </c>
      <c r="P416" s="12">
        <v>55000</v>
      </c>
      <c r="Q416" s="13">
        <v>0</v>
      </c>
      <c r="R416" s="1">
        <v>18</v>
      </c>
      <c r="S416" s="4">
        <v>454300</v>
      </c>
      <c r="T416" s="4" t="s">
        <v>1794</v>
      </c>
      <c r="U416" s="2" t="s">
        <v>116</v>
      </c>
      <c r="V416" s="2" t="s">
        <v>95</v>
      </c>
    </row>
    <row r="417" spans="1:22" x14ac:dyDescent="0.35">
      <c r="A417" s="5" t="s">
        <v>1566</v>
      </c>
      <c r="B417" s="10">
        <v>45351</v>
      </c>
      <c r="C417" s="6" t="s">
        <v>1779</v>
      </c>
      <c r="D417" s="6" t="s">
        <v>1567</v>
      </c>
      <c r="E417" s="6" t="s">
        <v>1296</v>
      </c>
      <c r="F417" s="6" t="s">
        <v>1568</v>
      </c>
      <c r="G417" s="6" t="s">
        <v>150</v>
      </c>
      <c r="H417" s="5" t="s">
        <v>93</v>
      </c>
      <c r="I417" s="5" t="s">
        <v>38</v>
      </c>
      <c r="J417" s="5" t="s">
        <v>82</v>
      </c>
      <c r="K417" s="6" t="s">
        <v>83</v>
      </c>
      <c r="L417" s="6" t="s">
        <v>84</v>
      </c>
      <c r="M417" s="6" t="s">
        <v>85</v>
      </c>
      <c r="N417" s="6" t="s">
        <v>86</v>
      </c>
      <c r="O417" s="12">
        <v>10</v>
      </c>
      <c r="P417" s="12">
        <v>12000</v>
      </c>
      <c r="Q417" s="14">
        <v>12</v>
      </c>
      <c r="R417" s="5">
        <v>18</v>
      </c>
      <c r="S417" s="4">
        <v>124608</v>
      </c>
      <c r="T417" s="4" t="s">
        <v>65</v>
      </c>
      <c r="U417" s="6" t="s">
        <v>116</v>
      </c>
      <c r="V417" s="2" t="s">
        <v>95</v>
      </c>
    </row>
    <row r="418" spans="1:22" x14ac:dyDescent="0.35">
      <c r="A418" s="1" t="s">
        <v>1569</v>
      </c>
      <c r="B418" s="10">
        <v>45310</v>
      </c>
      <c r="C418" s="2" t="s">
        <v>1784</v>
      </c>
      <c r="D418" s="2" t="s">
        <v>1570</v>
      </c>
      <c r="E418" s="2" t="s">
        <v>729</v>
      </c>
      <c r="F418" s="3" t="s">
        <v>1789</v>
      </c>
      <c r="G418" s="3" t="s">
        <v>150</v>
      </c>
      <c r="H418" s="1" t="s">
        <v>93</v>
      </c>
      <c r="I418" s="1" t="s">
        <v>38</v>
      </c>
      <c r="J418" s="1" t="s">
        <v>25</v>
      </c>
      <c r="K418" s="2" t="s">
        <v>26</v>
      </c>
      <c r="L418" s="2" t="s">
        <v>27</v>
      </c>
      <c r="M418" s="2" t="s">
        <v>28</v>
      </c>
      <c r="N418" s="2" t="s">
        <v>29</v>
      </c>
      <c r="O418" s="12">
        <v>6</v>
      </c>
      <c r="P418" s="12">
        <v>450</v>
      </c>
      <c r="Q418" s="13">
        <v>25</v>
      </c>
      <c r="R418" s="1">
        <v>5</v>
      </c>
      <c r="S418" s="4">
        <v>2126.25</v>
      </c>
      <c r="T418" s="4" t="s">
        <v>294</v>
      </c>
      <c r="U418" s="3" t="s">
        <v>137</v>
      </c>
      <c r="V418" s="2" t="s">
        <v>138</v>
      </c>
    </row>
    <row r="419" spans="1:22" x14ac:dyDescent="0.35">
      <c r="A419" s="5" t="s">
        <v>1571</v>
      </c>
      <c r="B419" s="10">
        <v>45347</v>
      </c>
      <c r="C419" s="6" t="s">
        <v>1766</v>
      </c>
      <c r="D419" s="6" t="s">
        <v>1572</v>
      </c>
      <c r="E419" s="6" t="s">
        <v>289</v>
      </c>
      <c r="F419" s="6" t="s">
        <v>1573</v>
      </c>
      <c r="G419" s="6" t="s">
        <v>80</v>
      </c>
      <c r="H419" s="5" t="s">
        <v>81</v>
      </c>
      <c r="I419" s="5" t="s">
        <v>24</v>
      </c>
      <c r="J419" s="5" t="s">
        <v>242</v>
      </c>
      <c r="K419" s="6" t="s">
        <v>243</v>
      </c>
      <c r="L419" s="6" t="s">
        <v>84</v>
      </c>
      <c r="M419" s="6" t="s">
        <v>244</v>
      </c>
      <c r="N419" s="6" t="s">
        <v>245</v>
      </c>
      <c r="O419" s="12">
        <v>1</v>
      </c>
      <c r="P419" s="12">
        <v>3200</v>
      </c>
      <c r="Q419" s="14">
        <v>0</v>
      </c>
      <c r="R419" s="5">
        <v>18</v>
      </c>
      <c r="S419" s="4">
        <v>3776</v>
      </c>
      <c r="T419" s="4" t="s">
        <v>94</v>
      </c>
      <c r="U419" s="3" t="s">
        <v>116</v>
      </c>
      <c r="V419" s="2" t="s">
        <v>95</v>
      </c>
    </row>
    <row r="420" spans="1:22" x14ac:dyDescent="0.35">
      <c r="A420" s="1" t="s">
        <v>1574</v>
      </c>
      <c r="B420" s="10">
        <v>45354</v>
      </c>
      <c r="C420" s="2" t="s">
        <v>330</v>
      </c>
      <c r="D420" s="2" t="s">
        <v>1575</v>
      </c>
      <c r="E420" s="2" t="s">
        <v>332</v>
      </c>
      <c r="F420" s="2" t="s">
        <v>1576</v>
      </c>
      <c r="G420" s="2" t="s">
        <v>70</v>
      </c>
      <c r="H420" s="1" t="s">
        <v>70</v>
      </c>
      <c r="I420" s="1" t="s">
        <v>71</v>
      </c>
      <c r="J420" s="1" t="s">
        <v>25</v>
      </c>
      <c r="K420" s="2" t="s">
        <v>26</v>
      </c>
      <c r="L420" s="2" t="s">
        <v>27</v>
      </c>
      <c r="M420" s="2" t="s">
        <v>28</v>
      </c>
      <c r="N420" s="2" t="s">
        <v>29</v>
      </c>
      <c r="O420" s="12">
        <v>9</v>
      </c>
      <c r="P420" s="12">
        <v>450</v>
      </c>
      <c r="Q420" s="13">
        <v>25</v>
      </c>
      <c r="R420" s="1">
        <v>5</v>
      </c>
      <c r="S420" s="4">
        <v>3189.375</v>
      </c>
      <c r="T420" s="4" t="s">
        <v>294</v>
      </c>
      <c r="U420" s="3" t="s">
        <v>116</v>
      </c>
      <c r="V420" s="2" t="s">
        <v>138</v>
      </c>
    </row>
    <row r="421" spans="1:22" x14ac:dyDescent="0.35">
      <c r="A421" s="5" t="s">
        <v>1577</v>
      </c>
      <c r="B421" s="10">
        <v>45447</v>
      </c>
      <c r="C421" s="6" t="s">
        <v>262</v>
      </c>
      <c r="D421" s="6" t="s">
        <v>1578</v>
      </c>
      <c r="E421" s="6" t="s">
        <v>264</v>
      </c>
      <c r="F421" s="6" t="s">
        <v>1579</v>
      </c>
      <c r="G421" s="6" t="s">
        <v>237</v>
      </c>
      <c r="H421" s="5" t="s">
        <v>23</v>
      </c>
      <c r="I421" s="5" t="s">
        <v>24</v>
      </c>
      <c r="J421" s="5" t="s">
        <v>242</v>
      </c>
      <c r="K421" s="6" t="s">
        <v>243</v>
      </c>
      <c r="L421" s="6" t="s">
        <v>84</v>
      </c>
      <c r="M421" s="6" t="s">
        <v>244</v>
      </c>
      <c r="N421" s="6" t="s">
        <v>245</v>
      </c>
      <c r="O421" s="12">
        <v>8</v>
      </c>
      <c r="P421" s="12">
        <v>3200</v>
      </c>
      <c r="Q421" s="14">
        <v>8</v>
      </c>
      <c r="R421" s="5">
        <v>18</v>
      </c>
      <c r="S421" s="4">
        <v>27791.359999999997</v>
      </c>
      <c r="T421" s="4" t="s">
        <v>54</v>
      </c>
      <c r="U421" s="3" t="s">
        <v>116</v>
      </c>
      <c r="V421" s="2" t="s">
        <v>95</v>
      </c>
    </row>
    <row r="422" spans="1:22" x14ac:dyDescent="0.35">
      <c r="A422" s="1" t="s">
        <v>1580</v>
      </c>
      <c r="B422" s="10">
        <v>45423</v>
      </c>
      <c r="C422" s="2" t="s">
        <v>1770</v>
      </c>
      <c r="D422" s="2" t="s">
        <v>1581</v>
      </c>
      <c r="E422" s="2" t="s">
        <v>1447</v>
      </c>
      <c r="F422" s="2" t="s">
        <v>1582</v>
      </c>
      <c r="G422" s="2" t="s">
        <v>315</v>
      </c>
      <c r="H422" s="1" t="s">
        <v>256</v>
      </c>
      <c r="I422" s="1" t="s">
        <v>24</v>
      </c>
      <c r="J422" s="1" t="s">
        <v>201</v>
      </c>
      <c r="K422" s="2" t="s">
        <v>202</v>
      </c>
      <c r="L422" s="2" t="s">
        <v>27</v>
      </c>
      <c r="M422" s="2" t="s">
        <v>203</v>
      </c>
      <c r="N422" s="2" t="s">
        <v>204</v>
      </c>
      <c r="O422" s="12">
        <v>3</v>
      </c>
      <c r="P422" s="12">
        <v>280</v>
      </c>
      <c r="Q422" s="13">
        <v>5</v>
      </c>
      <c r="R422" s="1">
        <v>5</v>
      </c>
      <c r="S422" s="4">
        <v>837.90000000000009</v>
      </c>
      <c r="T422" s="4" t="s">
        <v>65</v>
      </c>
      <c r="U422" s="2" t="s">
        <v>87</v>
      </c>
      <c r="V422" s="2" t="s">
        <v>95</v>
      </c>
    </row>
    <row r="423" spans="1:22" x14ac:dyDescent="0.35">
      <c r="A423" s="5" t="s">
        <v>1583</v>
      </c>
      <c r="B423" s="10">
        <v>45313</v>
      </c>
      <c r="C423" s="6" t="s">
        <v>233</v>
      </c>
      <c r="D423" s="6" t="s">
        <v>1584</v>
      </c>
      <c r="E423" s="6" t="s">
        <v>1585</v>
      </c>
      <c r="F423" s="6" t="s">
        <v>1586</v>
      </c>
      <c r="G423" s="6" t="s">
        <v>109</v>
      </c>
      <c r="H423" s="5" t="s">
        <v>48</v>
      </c>
      <c r="I423" s="5" t="s">
        <v>24</v>
      </c>
      <c r="J423" s="5" t="s">
        <v>669</v>
      </c>
      <c r="K423" s="6" t="s">
        <v>670</v>
      </c>
      <c r="L423" s="6" t="s">
        <v>84</v>
      </c>
      <c r="M423" s="6" t="s">
        <v>85</v>
      </c>
      <c r="N423" s="6" t="s">
        <v>671</v>
      </c>
      <c r="O423" s="12">
        <v>6</v>
      </c>
      <c r="P423" s="12">
        <v>38000</v>
      </c>
      <c r="Q423" s="14">
        <v>20</v>
      </c>
      <c r="R423" s="5">
        <v>18</v>
      </c>
      <c r="S423" s="4">
        <v>215232</v>
      </c>
      <c r="T423" s="4" t="s">
        <v>65</v>
      </c>
      <c r="U423" s="3" t="s">
        <v>116</v>
      </c>
      <c r="V423" s="2" t="s">
        <v>138</v>
      </c>
    </row>
    <row r="424" spans="1:22" x14ac:dyDescent="0.35">
      <c r="A424" s="1" t="s">
        <v>1587</v>
      </c>
      <c r="B424" s="10">
        <v>45402</v>
      </c>
      <c r="C424" s="2" t="s">
        <v>1772</v>
      </c>
      <c r="D424" s="2" t="s">
        <v>1588</v>
      </c>
      <c r="E424" s="2" t="s">
        <v>414</v>
      </c>
      <c r="F424" s="2" t="s">
        <v>1589</v>
      </c>
      <c r="G424" s="2" t="s">
        <v>166</v>
      </c>
      <c r="H424" s="1" t="s">
        <v>167</v>
      </c>
      <c r="I424" s="1" t="s">
        <v>71</v>
      </c>
      <c r="J424" s="1" t="s">
        <v>215</v>
      </c>
      <c r="K424" s="2" t="s">
        <v>216</v>
      </c>
      <c r="L424" s="2" t="s">
        <v>27</v>
      </c>
      <c r="M424" s="2" t="s">
        <v>127</v>
      </c>
      <c r="N424" s="2" t="s">
        <v>217</v>
      </c>
      <c r="O424" s="12">
        <v>8</v>
      </c>
      <c r="P424" s="12">
        <v>40</v>
      </c>
      <c r="Q424" s="13">
        <v>20</v>
      </c>
      <c r="R424" s="1">
        <v>5</v>
      </c>
      <c r="S424" s="4">
        <v>268.8</v>
      </c>
      <c r="T424" s="4" t="s">
        <v>65</v>
      </c>
      <c r="U424" s="2" t="s">
        <v>137</v>
      </c>
      <c r="V424" s="2" t="s">
        <v>95</v>
      </c>
    </row>
    <row r="425" spans="1:22" x14ac:dyDescent="0.35">
      <c r="A425" s="5" t="s">
        <v>1590</v>
      </c>
      <c r="B425" s="10">
        <v>45429</v>
      </c>
      <c r="C425" s="6" t="s">
        <v>1764</v>
      </c>
      <c r="D425" s="6" t="s">
        <v>1591</v>
      </c>
      <c r="E425" s="6" t="s">
        <v>298</v>
      </c>
      <c r="F425" s="6" t="s">
        <v>1592</v>
      </c>
      <c r="G425" s="6" t="s">
        <v>114</v>
      </c>
      <c r="H425" s="5" t="s">
        <v>115</v>
      </c>
      <c r="I425" s="5" t="s">
        <v>71</v>
      </c>
      <c r="J425" s="5" t="s">
        <v>49</v>
      </c>
      <c r="K425" s="6" t="s">
        <v>50</v>
      </c>
      <c r="L425" s="6" t="s">
        <v>51</v>
      </c>
      <c r="M425" s="6" t="s">
        <v>52</v>
      </c>
      <c r="N425" s="6" t="s">
        <v>53</v>
      </c>
      <c r="O425" s="12">
        <v>10</v>
      </c>
      <c r="P425" s="12">
        <v>28000</v>
      </c>
      <c r="Q425" s="14">
        <v>10</v>
      </c>
      <c r="R425" s="5">
        <v>18</v>
      </c>
      <c r="S425" s="4">
        <v>297360</v>
      </c>
      <c r="T425" s="4" t="s">
        <v>294</v>
      </c>
      <c r="U425" s="6" t="s">
        <v>137</v>
      </c>
      <c r="V425" s="2" t="s">
        <v>138</v>
      </c>
    </row>
    <row r="426" spans="1:22" x14ac:dyDescent="0.35">
      <c r="A426" s="1" t="s">
        <v>1593</v>
      </c>
      <c r="B426" s="10">
        <v>45375</v>
      </c>
      <c r="C426" s="2" t="s">
        <v>1767</v>
      </c>
      <c r="D426" s="2" t="s">
        <v>1594</v>
      </c>
      <c r="E426" s="2" t="s">
        <v>90</v>
      </c>
      <c r="F426" s="2" t="s">
        <v>1595</v>
      </c>
      <c r="G426" s="2" t="s">
        <v>237</v>
      </c>
      <c r="H426" s="1" t="s">
        <v>23</v>
      </c>
      <c r="I426" s="1" t="s">
        <v>24</v>
      </c>
      <c r="J426" s="1" t="s">
        <v>49</v>
      </c>
      <c r="K426" s="2" t="s">
        <v>50</v>
      </c>
      <c r="L426" s="2" t="s">
        <v>51</v>
      </c>
      <c r="M426" s="2" t="s">
        <v>52</v>
      </c>
      <c r="N426" s="2" t="s">
        <v>53</v>
      </c>
      <c r="O426" s="12">
        <v>8</v>
      </c>
      <c r="P426" s="12">
        <v>28000</v>
      </c>
      <c r="Q426" s="13">
        <v>12</v>
      </c>
      <c r="R426" s="1">
        <v>18</v>
      </c>
      <c r="S426" s="4">
        <v>232601.59999999998</v>
      </c>
      <c r="T426" s="4" t="s">
        <v>94</v>
      </c>
      <c r="U426" s="2" t="s">
        <v>30</v>
      </c>
      <c r="V426" s="2" t="s">
        <v>138</v>
      </c>
    </row>
    <row r="427" spans="1:22" x14ac:dyDescent="0.35">
      <c r="A427" s="5" t="s">
        <v>1596</v>
      </c>
      <c r="B427" s="10">
        <v>45359</v>
      </c>
      <c r="C427" s="6" t="s">
        <v>346</v>
      </c>
      <c r="D427" s="6" t="s">
        <v>1597</v>
      </c>
      <c r="E427" s="6" t="s">
        <v>847</v>
      </c>
      <c r="F427" s="6" t="s">
        <v>1598</v>
      </c>
      <c r="G427" s="6" t="s">
        <v>166</v>
      </c>
      <c r="H427" s="5" t="s">
        <v>167</v>
      </c>
      <c r="I427" s="5" t="s">
        <v>71</v>
      </c>
      <c r="J427" s="5" t="s">
        <v>143</v>
      </c>
      <c r="K427" s="6" t="s">
        <v>144</v>
      </c>
      <c r="L427" s="6" t="s">
        <v>51</v>
      </c>
      <c r="M427" s="6" t="s">
        <v>52</v>
      </c>
      <c r="N427" s="6" t="s">
        <v>145</v>
      </c>
      <c r="O427" s="12">
        <v>9</v>
      </c>
      <c r="P427" s="12">
        <v>0</v>
      </c>
      <c r="Q427" s="14">
        <v>0</v>
      </c>
      <c r="R427" s="5">
        <v>18</v>
      </c>
      <c r="S427" s="4">
        <v>0</v>
      </c>
      <c r="T427" s="4" t="s">
        <v>294</v>
      </c>
      <c r="U427" s="3" t="s">
        <v>30</v>
      </c>
      <c r="V427" s="2" t="s">
        <v>95</v>
      </c>
    </row>
    <row r="428" spans="1:22" x14ac:dyDescent="0.35">
      <c r="A428" s="1" t="s">
        <v>1599</v>
      </c>
      <c r="B428" s="10">
        <v>45366</v>
      </c>
      <c r="C428" s="2" t="s">
        <v>330</v>
      </c>
      <c r="D428" s="2" t="s">
        <v>1600</v>
      </c>
      <c r="E428" s="2" t="s">
        <v>1601</v>
      </c>
      <c r="F428" s="2" t="s">
        <v>1602</v>
      </c>
      <c r="G428" s="2" t="s">
        <v>70</v>
      </c>
      <c r="H428" s="1" t="s">
        <v>70</v>
      </c>
      <c r="I428" s="1" t="s">
        <v>71</v>
      </c>
      <c r="J428" s="1" t="s">
        <v>100</v>
      </c>
      <c r="K428" s="2" t="s">
        <v>101</v>
      </c>
      <c r="L428" s="2" t="s">
        <v>51</v>
      </c>
      <c r="M428" s="2" t="s">
        <v>102</v>
      </c>
      <c r="N428" s="2" t="s">
        <v>103</v>
      </c>
      <c r="O428" s="12">
        <v>3</v>
      </c>
      <c r="P428" s="12">
        <v>2800</v>
      </c>
      <c r="Q428" s="13">
        <v>10</v>
      </c>
      <c r="R428" s="1">
        <v>18</v>
      </c>
      <c r="S428" s="4">
        <v>8920.7999999999993</v>
      </c>
      <c r="T428" s="4" t="s">
        <v>65</v>
      </c>
      <c r="U428" s="2" t="s">
        <v>195</v>
      </c>
      <c r="V428" s="2" t="s">
        <v>95</v>
      </c>
    </row>
    <row r="429" spans="1:22" x14ac:dyDescent="0.35">
      <c r="A429" s="5" t="s">
        <v>1603</v>
      </c>
      <c r="B429" s="10">
        <v>45467</v>
      </c>
      <c r="C429" s="6" t="s">
        <v>1774</v>
      </c>
      <c r="D429" s="6" t="s">
        <v>1604</v>
      </c>
      <c r="E429" s="6" t="s">
        <v>325</v>
      </c>
      <c r="F429" s="6" t="s">
        <v>1605</v>
      </c>
      <c r="G429" s="6" t="s">
        <v>550</v>
      </c>
      <c r="H429" s="5" t="s">
        <v>37</v>
      </c>
      <c r="I429" s="5" t="s">
        <v>38</v>
      </c>
      <c r="J429" s="5" t="s">
        <v>39</v>
      </c>
      <c r="K429" s="6" t="s">
        <v>40</v>
      </c>
      <c r="L429" s="6" t="s">
        <v>41</v>
      </c>
      <c r="M429" s="6" t="s">
        <v>42</v>
      </c>
      <c r="N429" s="6" t="s">
        <v>43</v>
      </c>
      <c r="O429" s="12">
        <v>7</v>
      </c>
      <c r="P429" s="12">
        <v>25000</v>
      </c>
      <c r="Q429" s="14">
        <v>20</v>
      </c>
      <c r="R429" s="5">
        <v>3</v>
      </c>
      <c r="S429" s="4">
        <v>144200</v>
      </c>
      <c r="T429" s="4" t="s">
        <v>65</v>
      </c>
      <c r="U429" s="3" t="s">
        <v>116</v>
      </c>
      <c r="V429" s="2" t="s">
        <v>138</v>
      </c>
    </row>
    <row r="430" spans="1:22" x14ac:dyDescent="0.35">
      <c r="A430" s="1" t="s">
        <v>1606</v>
      </c>
      <c r="B430" s="10">
        <v>45452</v>
      </c>
      <c r="C430" s="2" t="s">
        <v>1782</v>
      </c>
      <c r="D430" s="2" t="s">
        <v>1607</v>
      </c>
      <c r="E430" s="2" t="s">
        <v>800</v>
      </c>
      <c r="F430" s="2" t="s">
        <v>1608</v>
      </c>
      <c r="G430" s="2" t="s">
        <v>150</v>
      </c>
      <c r="H430" s="1" t="s">
        <v>93</v>
      </c>
      <c r="I430" s="1" t="s">
        <v>38</v>
      </c>
      <c r="J430" s="1" t="s">
        <v>669</v>
      </c>
      <c r="K430" s="2" t="s">
        <v>670</v>
      </c>
      <c r="L430" s="2" t="s">
        <v>84</v>
      </c>
      <c r="M430" s="2" t="s">
        <v>85</v>
      </c>
      <c r="N430" s="2" t="s">
        <v>671</v>
      </c>
      <c r="O430" s="12">
        <v>7</v>
      </c>
      <c r="P430" s="12">
        <v>38000</v>
      </c>
      <c r="Q430" s="13">
        <v>0</v>
      </c>
      <c r="R430" s="1">
        <v>18</v>
      </c>
      <c r="S430" s="4">
        <v>313880</v>
      </c>
      <c r="T430" s="4" t="s">
        <v>65</v>
      </c>
      <c r="U430" s="3" t="s">
        <v>87</v>
      </c>
      <c r="V430" s="2" t="s">
        <v>95</v>
      </c>
    </row>
    <row r="431" spans="1:22" x14ac:dyDescent="0.35">
      <c r="A431" s="5" t="s">
        <v>1609</v>
      </c>
      <c r="B431" s="10">
        <v>45376</v>
      </c>
      <c r="C431" s="6" t="s">
        <v>1775</v>
      </c>
      <c r="D431" s="6" t="s">
        <v>1610</v>
      </c>
      <c r="E431" s="6" t="s">
        <v>660</v>
      </c>
      <c r="F431" s="6" t="s">
        <v>1611</v>
      </c>
      <c r="G431" s="6" t="s">
        <v>237</v>
      </c>
      <c r="H431" s="5" t="s">
        <v>23</v>
      </c>
      <c r="I431" s="5" t="s">
        <v>24</v>
      </c>
      <c r="J431" s="5" t="s">
        <v>354</v>
      </c>
      <c r="K431" s="6" t="s">
        <v>355</v>
      </c>
      <c r="L431" s="6" t="s">
        <v>62</v>
      </c>
      <c r="M431" s="6" t="s">
        <v>356</v>
      </c>
      <c r="N431" s="6" t="s">
        <v>357</v>
      </c>
      <c r="O431" s="12">
        <v>2</v>
      </c>
      <c r="P431" s="12">
        <v>4500</v>
      </c>
      <c r="Q431" s="14">
        <v>8</v>
      </c>
      <c r="R431" s="5">
        <v>5</v>
      </c>
      <c r="S431" s="4">
        <v>8694</v>
      </c>
      <c r="T431" s="4" t="s">
        <v>1794</v>
      </c>
      <c r="U431" s="6" t="s">
        <v>116</v>
      </c>
      <c r="V431" s="2" t="s">
        <v>95</v>
      </c>
    </row>
    <row r="432" spans="1:22" x14ac:dyDescent="0.35">
      <c r="A432" s="1" t="s">
        <v>1612</v>
      </c>
      <c r="B432" s="10">
        <v>45421</v>
      </c>
      <c r="C432" s="2" t="s">
        <v>1763</v>
      </c>
      <c r="D432" s="2" t="s">
        <v>1613</v>
      </c>
      <c r="E432" s="2" t="s">
        <v>352</v>
      </c>
      <c r="F432" s="2" t="s">
        <v>1614</v>
      </c>
      <c r="G432" s="2" t="s">
        <v>109</v>
      </c>
      <c r="H432" s="1" t="s">
        <v>48</v>
      </c>
      <c r="I432" s="1" t="s">
        <v>24</v>
      </c>
      <c r="J432" s="1" t="s">
        <v>434</v>
      </c>
      <c r="K432" s="2" t="s">
        <v>435</v>
      </c>
      <c r="L432" s="2" t="s">
        <v>62</v>
      </c>
      <c r="M432" s="2" t="s">
        <v>160</v>
      </c>
      <c r="N432" s="2" t="s">
        <v>436</v>
      </c>
      <c r="O432" s="12">
        <v>4</v>
      </c>
      <c r="P432" s="12">
        <v>1200</v>
      </c>
      <c r="Q432" s="13">
        <v>20</v>
      </c>
      <c r="R432" s="1">
        <v>5</v>
      </c>
      <c r="S432" s="4">
        <v>4032</v>
      </c>
      <c r="T432" s="4" t="s">
        <v>94</v>
      </c>
      <c r="U432" s="2" t="s">
        <v>87</v>
      </c>
      <c r="V432" s="2" t="s">
        <v>138</v>
      </c>
    </row>
    <row r="433" spans="1:22" x14ac:dyDescent="0.35">
      <c r="A433" s="5" t="s">
        <v>1615</v>
      </c>
      <c r="B433" s="10">
        <v>45415</v>
      </c>
      <c r="C433" s="6" t="s">
        <v>1774</v>
      </c>
      <c r="D433" s="6" t="s">
        <v>1616</v>
      </c>
      <c r="E433" s="6" t="s">
        <v>1617</v>
      </c>
      <c r="F433" s="6" t="s">
        <v>1618</v>
      </c>
      <c r="G433" s="6" t="s">
        <v>109</v>
      </c>
      <c r="H433" s="5" t="s">
        <v>48</v>
      </c>
      <c r="I433" s="5" t="s">
        <v>24</v>
      </c>
      <c r="J433" s="5" t="s">
        <v>158</v>
      </c>
      <c r="K433" s="6" t="s">
        <v>159</v>
      </c>
      <c r="L433" s="6" t="s">
        <v>62</v>
      </c>
      <c r="M433" s="6" t="s">
        <v>160</v>
      </c>
      <c r="N433" s="6" t="s">
        <v>161</v>
      </c>
      <c r="O433" s="12">
        <v>1</v>
      </c>
      <c r="P433" s="12">
        <v>2500</v>
      </c>
      <c r="Q433" s="14">
        <v>25</v>
      </c>
      <c r="R433" s="5">
        <v>5</v>
      </c>
      <c r="S433" s="4">
        <v>1968.75</v>
      </c>
      <c r="T433" s="4" t="s">
        <v>294</v>
      </c>
      <c r="U433" s="3" t="s">
        <v>87</v>
      </c>
      <c r="V433" s="2" t="s">
        <v>138</v>
      </c>
    </row>
    <row r="434" spans="1:22" x14ac:dyDescent="0.35">
      <c r="A434" s="1" t="s">
        <v>1619</v>
      </c>
      <c r="B434" s="10">
        <v>45443</v>
      </c>
      <c r="C434" s="2" t="s">
        <v>56</v>
      </c>
      <c r="D434" s="2" t="s">
        <v>1620</v>
      </c>
      <c r="E434" s="2" t="s">
        <v>522</v>
      </c>
      <c r="F434" s="2" t="s">
        <v>1621</v>
      </c>
      <c r="G434" s="2" t="s">
        <v>80</v>
      </c>
      <c r="H434" s="1" t="s">
        <v>81</v>
      </c>
      <c r="I434" s="1" t="s">
        <v>24</v>
      </c>
      <c r="J434" s="1" t="s">
        <v>172</v>
      </c>
      <c r="K434" s="2" t="s">
        <v>173</v>
      </c>
      <c r="L434" s="2" t="s">
        <v>84</v>
      </c>
      <c r="M434" s="2" t="s">
        <v>174</v>
      </c>
      <c r="N434" s="2" t="s">
        <v>175</v>
      </c>
      <c r="O434" s="12">
        <v>4</v>
      </c>
      <c r="P434" s="12">
        <v>299</v>
      </c>
      <c r="Q434" s="13">
        <v>8</v>
      </c>
      <c r="R434" s="1">
        <v>18</v>
      </c>
      <c r="S434" s="4">
        <v>1298.3775999999998</v>
      </c>
      <c r="T434" s="4" t="s">
        <v>65</v>
      </c>
      <c r="U434" s="2" t="s">
        <v>30</v>
      </c>
      <c r="V434" s="2" t="s">
        <v>95</v>
      </c>
    </row>
    <row r="435" spans="1:22" x14ac:dyDescent="0.35">
      <c r="A435" s="5" t="s">
        <v>1622</v>
      </c>
      <c r="B435" s="10">
        <v>45423</v>
      </c>
      <c r="C435" s="6" t="s">
        <v>1786</v>
      </c>
      <c r="D435" s="6" t="s">
        <v>1788</v>
      </c>
      <c r="E435" s="6" t="s">
        <v>818</v>
      </c>
      <c r="F435" s="6" t="s">
        <v>1623</v>
      </c>
      <c r="G435" s="6" t="s">
        <v>550</v>
      </c>
      <c r="H435" s="5" t="s">
        <v>37</v>
      </c>
      <c r="I435" s="5" t="s">
        <v>38</v>
      </c>
      <c r="J435" s="5" t="s">
        <v>133</v>
      </c>
      <c r="K435" s="6" t="s">
        <v>134</v>
      </c>
      <c r="L435" s="6" t="s">
        <v>51</v>
      </c>
      <c r="M435" s="6" t="s">
        <v>135</v>
      </c>
      <c r="N435" s="6" t="s">
        <v>136</v>
      </c>
      <c r="O435" s="12">
        <v>10</v>
      </c>
      <c r="P435" s="12">
        <v>55000</v>
      </c>
      <c r="Q435" s="14">
        <v>25</v>
      </c>
      <c r="R435" s="5">
        <v>18</v>
      </c>
      <c r="S435" s="4">
        <v>486750</v>
      </c>
      <c r="T435" s="4" t="s">
        <v>1793</v>
      </c>
      <c r="U435" s="3" t="s">
        <v>137</v>
      </c>
      <c r="V435" s="2" t="s">
        <v>95</v>
      </c>
    </row>
    <row r="436" spans="1:22" x14ac:dyDescent="0.35">
      <c r="A436" s="1" t="s">
        <v>1624</v>
      </c>
      <c r="B436" s="10">
        <v>45425</v>
      </c>
      <c r="C436" s="2" t="s">
        <v>467</v>
      </c>
      <c r="D436" s="2" t="s">
        <v>1788</v>
      </c>
      <c r="E436" s="2" t="s">
        <v>1625</v>
      </c>
      <c r="F436" s="2" t="s">
        <v>1626</v>
      </c>
      <c r="G436" s="2" t="s">
        <v>349</v>
      </c>
      <c r="H436" s="1" t="s">
        <v>209</v>
      </c>
      <c r="I436" s="1" t="s">
        <v>210</v>
      </c>
      <c r="J436" s="1" t="s">
        <v>342</v>
      </c>
      <c r="K436" s="2" t="s">
        <v>343</v>
      </c>
      <c r="L436" s="2" t="s">
        <v>84</v>
      </c>
      <c r="M436" s="2" t="s">
        <v>244</v>
      </c>
      <c r="N436" s="2" t="s">
        <v>344</v>
      </c>
      <c r="O436" s="12">
        <v>7</v>
      </c>
      <c r="P436" s="12">
        <v>2200</v>
      </c>
      <c r="Q436" s="13">
        <v>20</v>
      </c>
      <c r="R436" s="1">
        <v>12</v>
      </c>
      <c r="S436" s="4">
        <v>13798.400000000001</v>
      </c>
      <c r="T436" s="4" t="s">
        <v>1794</v>
      </c>
      <c r="U436" s="3" t="s">
        <v>30</v>
      </c>
      <c r="V436" s="2" t="s">
        <v>138</v>
      </c>
    </row>
    <row r="437" spans="1:22" x14ac:dyDescent="0.35">
      <c r="A437" s="5" t="s">
        <v>1627</v>
      </c>
      <c r="B437" s="10">
        <v>45343</v>
      </c>
      <c r="C437" s="6" t="s">
        <v>1777</v>
      </c>
      <c r="D437" s="6" t="s">
        <v>1628</v>
      </c>
      <c r="E437" s="6" t="s">
        <v>953</v>
      </c>
      <c r="F437" s="6" t="s">
        <v>1629</v>
      </c>
      <c r="G437" s="6" t="s">
        <v>92</v>
      </c>
      <c r="H437" s="5" t="s">
        <v>93</v>
      </c>
      <c r="I437" s="5" t="s">
        <v>38</v>
      </c>
      <c r="J437" s="5" t="s">
        <v>172</v>
      </c>
      <c r="K437" s="6" t="s">
        <v>173</v>
      </c>
      <c r="L437" s="6" t="s">
        <v>84</v>
      </c>
      <c r="M437" s="6" t="s">
        <v>174</v>
      </c>
      <c r="N437" s="6" t="s">
        <v>175</v>
      </c>
      <c r="O437" s="12">
        <v>6</v>
      </c>
      <c r="P437" s="12">
        <v>299</v>
      </c>
      <c r="Q437" s="14">
        <v>80</v>
      </c>
      <c r="R437" s="5">
        <v>18</v>
      </c>
      <c r="S437" s="4">
        <v>423.38399999999984</v>
      </c>
      <c r="T437" s="4" t="s">
        <v>1793</v>
      </c>
      <c r="U437" s="6" t="s">
        <v>195</v>
      </c>
      <c r="V437" s="2" t="s">
        <v>95</v>
      </c>
    </row>
    <row r="438" spans="1:22" x14ac:dyDescent="0.35">
      <c r="A438" s="1" t="s">
        <v>1630</v>
      </c>
      <c r="B438" s="10">
        <v>45318</v>
      </c>
      <c r="C438" s="2" t="s">
        <v>1763</v>
      </c>
      <c r="D438" s="2" t="s">
        <v>1631</v>
      </c>
      <c r="E438" s="2" t="s">
        <v>1632</v>
      </c>
      <c r="F438" s="2" t="s">
        <v>1633</v>
      </c>
      <c r="G438" s="2" t="s">
        <v>70</v>
      </c>
      <c r="H438" s="1" t="s">
        <v>70</v>
      </c>
      <c r="I438" s="1" t="s">
        <v>71</v>
      </c>
      <c r="J438" s="1" t="s">
        <v>82</v>
      </c>
      <c r="K438" s="2" t="s">
        <v>83</v>
      </c>
      <c r="L438" s="2" t="s">
        <v>84</v>
      </c>
      <c r="M438" s="2" t="s">
        <v>85</v>
      </c>
      <c r="N438" s="2" t="s">
        <v>86</v>
      </c>
      <c r="O438" s="12">
        <v>5</v>
      </c>
      <c r="P438" s="12">
        <v>12000</v>
      </c>
      <c r="Q438" s="13">
        <v>20</v>
      </c>
      <c r="R438" s="1">
        <v>18</v>
      </c>
      <c r="S438" s="4">
        <v>56640</v>
      </c>
      <c r="T438" s="4" t="s">
        <v>294</v>
      </c>
      <c r="U438" s="2" t="s">
        <v>87</v>
      </c>
      <c r="V438" s="2" t="s">
        <v>95</v>
      </c>
    </row>
    <row r="439" spans="1:22" x14ac:dyDescent="0.35">
      <c r="A439" s="5" t="s">
        <v>1634</v>
      </c>
      <c r="B439" s="10">
        <v>45374</v>
      </c>
      <c r="C439" s="6" t="s">
        <v>458</v>
      </c>
      <c r="D439" s="6" t="s">
        <v>1635</v>
      </c>
      <c r="E439" s="6" t="s">
        <v>460</v>
      </c>
      <c r="F439" s="6" t="s">
        <v>1636</v>
      </c>
      <c r="G439" s="6" t="s">
        <v>230</v>
      </c>
      <c r="H439" s="5" t="s">
        <v>231</v>
      </c>
      <c r="I439" s="5" t="s">
        <v>24</v>
      </c>
      <c r="J439" s="5" t="s">
        <v>39</v>
      </c>
      <c r="K439" s="6" t="s">
        <v>40</v>
      </c>
      <c r="L439" s="6" t="s">
        <v>41</v>
      </c>
      <c r="M439" s="6" t="s">
        <v>42</v>
      </c>
      <c r="N439" s="6" t="s">
        <v>43</v>
      </c>
      <c r="O439" s="12">
        <v>10</v>
      </c>
      <c r="P439" s="12">
        <v>25000</v>
      </c>
      <c r="Q439" s="14">
        <v>10</v>
      </c>
      <c r="R439" s="5">
        <v>3</v>
      </c>
      <c r="S439" s="4">
        <v>231750</v>
      </c>
      <c r="T439" s="4" t="s">
        <v>65</v>
      </c>
      <c r="U439" s="3" t="s">
        <v>137</v>
      </c>
      <c r="V439" s="2" t="s">
        <v>95</v>
      </c>
    </row>
    <row r="440" spans="1:22" x14ac:dyDescent="0.35">
      <c r="A440" s="1" t="s">
        <v>1637</v>
      </c>
      <c r="B440" s="10">
        <v>45405</v>
      </c>
      <c r="C440" s="2" t="s">
        <v>525</v>
      </c>
      <c r="D440" s="2" t="s">
        <v>1638</v>
      </c>
      <c r="E440" s="2" t="s">
        <v>796</v>
      </c>
      <c r="F440" s="2" t="s">
        <v>1639</v>
      </c>
      <c r="G440" s="2" t="s">
        <v>166</v>
      </c>
      <c r="H440" s="1" t="s">
        <v>167</v>
      </c>
      <c r="I440" s="1" t="s">
        <v>71</v>
      </c>
      <c r="J440" s="1" t="s">
        <v>39</v>
      </c>
      <c r="K440" s="2" t="s">
        <v>40</v>
      </c>
      <c r="L440" s="2" t="s">
        <v>41</v>
      </c>
      <c r="M440" s="2" t="s">
        <v>42</v>
      </c>
      <c r="N440" s="2" t="s">
        <v>43</v>
      </c>
      <c r="O440" s="12">
        <v>8</v>
      </c>
      <c r="P440" s="12">
        <v>25000</v>
      </c>
      <c r="Q440" s="13">
        <v>10</v>
      </c>
      <c r="R440" s="1">
        <v>3</v>
      </c>
      <c r="S440" s="4">
        <v>185400</v>
      </c>
      <c r="T440" s="4" t="s">
        <v>65</v>
      </c>
      <c r="U440" s="3" t="s">
        <v>137</v>
      </c>
      <c r="V440" s="2" t="s">
        <v>138</v>
      </c>
    </row>
    <row r="441" spans="1:22" x14ac:dyDescent="0.35">
      <c r="A441" s="5" t="s">
        <v>1640</v>
      </c>
      <c r="B441" s="10">
        <v>45356</v>
      </c>
      <c r="C441" s="6" t="s">
        <v>1779</v>
      </c>
      <c r="D441" s="6" t="s">
        <v>1641</v>
      </c>
      <c r="E441" s="6" t="s">
        <v>1642</v>
      </c>
      <c r="F441" s="6" t="s">
        <v>1643</v>
      </c>
      <c r="G441" s="6" t="s">
        <v>349</v>
      </c>
      <c r="H441" s="5" t="s">
        <v>209</v>
      </c>
      <c r="I441" s="5" t="s">
        <v>210</v>
      </c>
      <c r="J441" s="5" t="s">
        <v>49</v>
      </c>
      <c r="K441" s="6" t="s">
        <v>50</v>
      </c>
      <c r="L441" s="6" t="s">
        <v>51</v>
      </c>
      <c r="M441" s="6" t="s">
        <v>52</v>
      </c>
      <c r="N441" s="6" t="s">
        <v>53</v>
      </c>
      <c r="O441" s="12">
        <v>4</v>
      </c>
      <c r="P441" s="12">
        <v>28000</v>
      </c>
      <c r="Q441" s="14">
        <v>25</v>
      </c>
      <c r="R441" s="5">
        <v>18</v>
      </c>
      <c r="S441" s="4">
        <v>99120</v>
      </c>
      <c r="T441" s="4" t="s">
        <v>1793</v>
      </c>
      <c r="U441" s="6" t="s">
        <v>87</v>
      </c>
      <c r="V441" s="2" t="s">
        <v>95</v>
      </c>
    </row>
    <row r="442" spans="1:22" x14ac:dyDescent="0.35">
      <c r="A442" s="1" t="s">
        <v>1644</v>
      </c>
      <c r="B442" s="10">
        <v>45313</v>
      </c>
      <c r="C442" s="2" t="s">
        <v>1771</v>
      </c>
      <c r="D442" s="2" t="s">
        <v>1645</v>
      </c>
      <c r="E442" s="2" t="s">
        <v>834</v>
      </c>
      <c r="F442" s="2" t="s">
        <v>1646</v>
      </c>
      <c r="G442" s="2" t="s">
        <v>36</v>
      </c>
      <c r="H442" s="1" t="s">
        <v>37</v>
      </c>
      <c r="I442" s="1" t="s">
        <v>38</v>
      </c>
      <c r="J442" s="1" t="s">
        <v>143</v>
      </c>
      <c r="K442" s="2" t="s">
        <v>144</v>
      </c>
      <c r="L442" s="2" t="s">
        <v>51</v>
      </c>
      <c r="M442" s="2" t="s">
        <v>52</v>
      </c>
      <c r="N442" s="2" t="s">
        <v>145</v>
      </c>
      <c r="O442" s="12">
        <v>10</v>
      </c>
      <c r="P442" s="12">
        <v>89000</v>
      </c>
      <c r="Q442" s="13">
        <v>5</v>
      </c>
      <c r="R442" s="1">
        <v>18</v>
      </c>
      <c r="S442" s="4">
        <v>997690</v>
      </c>
      <c r="T442" s="4" t="s">
        <v>65</v>
      </c>
      <c r="U442" s="2" t="s">
        <v>116</v>
      </c>
      <c r="V442" s="2" t="s">
        <v>95</v>
      </c>
    </row>
    <row r="443" spans="1:22" x14ac:dyDescent="0.35">
      <c r="A443" s="5" t="s">
        <v>1647</v>
      </c>
      <c r="B443" s="10">
        <v>45308</v>
      </c>
      <c r="C443" s="6" t="s">
        <v>1784</v>
      </c>
      <c r="D443" s="6" t="s">
        <v>1788</v>
      </c>
      <c r="E443" s="6" t="s">
        <v>591</v>
      </c>
      <c r="F443" s="6" t="s">
        <v>1648</v>
      </c>
      <c r="G443" s="6" t="s">
        <v>109</v>
      </c>
      <c r="H443" s="5" t="s">
        <v>48</v>
      </c>
      <c r="I443" s="5" t="s">
        <v>24</v>
      </c>
      <c r="J443" s="5" t="s">
        <v>133</v>
      </c>
      <c r="K443" s="6" t="s">
        <v>134</v>
      </c>
      <c r="L443" s="6" t="s">
        <v>51</v>
      </c>
      <c r="M443" s="6" t="s">
        <v>135</v>
      </c>
      <c r="N443" s="6" t="s">
        <v>136</v>
      </c>
      <c r="O443" s="12">
        <v>6</v>
      </c>
      <c r="P443" s="12">
        <v>55000</v>
      </c>
      <c r="Q443" s="14">
        <v>15</v>
      </c>
      <c r="R443" s="5">
        <v>18</v>
      </c>
      <c r="S443" s="4">
        <v>330990</v>
      </c>
      <c r="T443" s="4" t="s">
        <v>54</v>
      </c>
      <c r="U443" s="3" t="s">
        <v>30</v>
      </c>
      <c r="V443" s="2" t="s">
        <v>95</v>
      </c>
    </row>
    <row r="444" spans="1:22" x14ac:dyDescent="0.35">
      <c r="A444" s="1" t="s">
        <v>1649</v>
      </c>
      <c r="B444" s="10">
        <v>45339</v>
      </c>
      <c r="C444" s="2" t="s">
        <v>537</v>
      </c>
      <c r="D444" s="2" t="s">
        <v>1650</v>
      </c>
      <c r="E444" s="2" t="s">
        <v>631</v>
      </c>
      <c r="F444" s="2" t="s">
        <v>1651</v>
      </c>
      <c r="G444" s="2" t="s">
        <v>150</v>
      </c>
      <c r="H444" s="1" t="s">
        <v>93</v>
      </c>
      <c r="I444" s="1" t="s">
        <v>38</v>
      </c>
      <c r="J444" s="1" t="s">
        <v>158</v>
      </c>
      <c r="K444" s="2" t="s">
        <v>159</v>
      </c>
      <c r="L444" s="2" t="s">
        <v>62</v>
      </c>
      <c r="M444" s="2" t="s">
        <v>160</v>
      </c>
      <c r="N444" s="2" t="s">
        <v>161</v>
      </c>
      <c r="O444" s="12">
        <v>1</v>
      </c>
      <c r="P444" s="12">
        <v>2500</v>
      </c>
      <c r="Q444" s="13">
        <v>5</v>
      </c>
      <c r="R444" s="1">
        <v>5</v>
      </c>
      <c r="S444" s="4">
        <v>2493.75</v>
      </c>
      <c r="T444" s="4" t="s">
        <v>94</v>
      </c>
      <c r="U444" s="2" t="s">
        <v>116</v>
      </c>
      <c r="V444" s="2" t="s">
        <v>138</v>
      </c>
    </row>
    <row r="445" spans="1:22" x14ac:dyDescent="0.35">
      <c r="A445" s="5" t="s">
        <v>1652</v>
      </c>
      <c r="B445" s="10">
        <v>45343</v>
      </c>
      <c r="C445" s="6" t="s">
        <v>1781</v>
      </c>
      <c r="D445" s="6" t="s">
        <v>1653</v>
      </c>
      <c r="E445" s="6" t="s">
        <v>854</v>
      </c>
      <c r="F445" s="6" t="s">
        <v>1654</v>
      </c>
      <c r="G445" s="6" t="s">
        <v>237</v>
      </c>
      <c r="H445" s="5" t="s">
        <v>23</v>
      </c>
      <c r="I445" s="5" t="s">
        <v>24</v>
      </c>
      <c r="J445" s="5" t="s">
        <v>100</v>
      </c>
      <c r="K445" s="6" t="s">
        <v>101</v>
      </c>
      <c r="L445" s="6" t="s">
        <v>51</v>
      </c>
      <c r="M445" s="6" t="s">
        <v>102</v>
      </c>
      <c r="N445" s="6" t="s">
        <v>103</v>
      </c>
      <c r="O445" s="12">
        <v>4</v>
      </c>
      <c r="P445" s="12">
        <v>2800</v>
      </c>
      <c r="Q445" s="14">
        <v>12</v>
      </c>
      <c r="R445" s="5">
        <v>18</v>
      </c>
      <c r="S445" s="4">
        <v>11630.08</v>
      </c>
      <c r="T445" s="4" t="s">
        <v>294</v>
      </c>
      <c r="U445" s="6" t="s">
        <v>30</v>
      </c>
      <c r="V445" s="2" t="s">
        <v>138</v>
      </c>
    </row>
    <row r="446" spans="1:22" x14ac:dyDescent="0.35">
      <c r="A446" s="1" t="s">
        <v>1655</v>
      </c>
      <c r="B446" s="10">
        <v>45433</v>
      </c>
      <c r="C446" s="2" t="s">
        <v>1779</v>
      </c>
      <c r="D446" s="2" t="s">
        <v>1656</v>
      </c>
      <c r="E446" s="2" t="s">
        <v>1296</v>
      </c>
      <c r="F446" s="2" t="s">
        <v>1657</v>
      </c>
      <c r="G446" s="2" t="s">
        <v>109</v>
      </c>
      <c r="H446" s="1" t="s">
        <v>48</v>
      </c>
      <c r="I446" s="1" t="s">
        <v>24</v>
      </c>
      <c r="J446" s="1" t="s">
        <v>39</v>
      </c>
      <c r="K446" s="2" t="s">
        <v>40</v>
      </c>
      <c r="L446" s="2" t="s">
        <v>41</v>
      </c>
      <c r="M446" s="2" t="s">
        <v>42</v>
      </c>
      <c r="N446" s="2" t="s">
        <v>43</v>
      </c>
      <c r="O446" s="12">
        <v>1</v>
      </c>
      <c r="P446" s="12">
        <v>25000</v>
      </c>
      <c r="Q446" s="13">
        <v>20</v>
      </c>
      <c r="R446" s="1">
        <v>3</v>
      </c>
      <c r="S446" s="4">
        <v>20600</v>
      </c>
      <c r="T446" s="4" t="s">
        <v>294</v>
      </c>
      <c r="U446" s="3" t="s">
        <v>137</v>
      </c>
      <c r="V446" s="2" t="s">
        <v>138</v>
      </c>
    </row>
    <row r="447" spans="1:22" x14ac:dyDescent="0.35">
      <c r="A447" s="5" t="s">
        <v>1658</v>
      </c>
      <c r="B447" s="10">
        <v>45370</v>
      </c>
      <c r="C447" s="6" t="s">
        <v>1764</v>
      </c>
      <c r="D447" s="6" t="s">
        <v>1659</v>
      </c>
      <c r="E447" s="6" t="s">
        <v>1277</v>
      </c>
      <c r="F447" s="6" t="s">
        <v>1660</v>
      </c>
      <c r="G447" s="6" t="s">
        <v>70</v>
      </c>
      <c r="H447" s="5" t="s">
        <v>70</v>
      </c>
      <c r="I447" s="5" t="s">
        <v>71</v>
      </c>
      <c r="J447" s="5" t="s">
        <v>250</v>
      </c>
      <c r="K447" s="6" t="s">
        <v>251</v>
      </c>
      <c r="L447" s="6" t="s">
        <v>84</v>
      </c>
      <c r="M447" s="6" t="s">
        <v>85</v>
      </c>
      <c r="N447" s="6" t="s">
        <v>252</v>
      </c>
      <c r="O447" s="12">
        <v>10</v>
      </c>
      <c r="P447" s="12">
        <v>42000</v>
      </c>
      <c r="Q447" s="14">
        <v>0</v>
      </c>
      <c r="R447" s="5">
        <v>18</v>
      </c>
      <c r="S447" s="4">
        <v>495600</v>
      </c>
      <c r="T447" s="4" t="s">
        <v>94</v>
      </c>
      <c r="U447" s="6" t="s">
        <v>116</v>
      </c>
      <c r="V447" s="2" t="s">
        <v>95</v>
      </c>
    </row>
    <row r="448" spans="1:22" x14ac:dyDescent="0.35">
      <c r="A448" s="1" t="s">
        <v>1661</v>
      </c>
      <c r="B448" s="10">
        <v>45439</v>
      </c>
      <c r="C448" s="2" t="s">
        <v>1769</v>
      </c>
      <c r="D448" s="2" t="s">
        <v>1662</v>
      </c>
      <c r="E448" s="2" t="s">
        <v>933</v>
      </c>
      <c r="F448" s="2" t="s">
        <v>1663</v>
      </c>
      <c r="G448" s="2" t="s">
        <v>109</v>
      </c>
      <c r="H448" s="1" t="s">
        <v>48</v>
      </c>
      <c r="I448" s="1" t="s">
        <v>24</v>
      </c>
      <c r="J448" s="1" t="s">
        <v>242</v>
      </c>
      <c r="K448" s="2" t="s">
        <v>243</v>
      </c>
      <c r="L448" s="2" t="s">
        <v>84</v>
      </c>
      <c r="M448" s="2" t="s">
        <v>244</v>
      </c>
      <c r="N448" s="2" t="s">
        <v>245</v>
      </c>
      <c r="O448" s="12">
        <v>10</v>
      </c>
      <c r="P448" s="12">
        <v>3200</v>
      </c>
      <c r="Q448" s="13">
        <v>10</v>
      </c>
      <c r="R448" s="1">
        <v>18</v>
      </c>
      <c r="S448" s="4">
        <v>33984</v>
      </c>
      <c r="T448" s="4" t="s">
        <v>294</v>
      </c>
      <c r="U448" s="3" t="s">
        <v>137</v>
      </c>
      <c r="V448" s="2" t="s">
        <v>138</v>
      </c>
    </row>
    <row r="449" spans="1:22" x14ac:dyDescent="0.35">
      <c r="A449" s="5" t="s">
        <v>1664</v>
      </c>
      <c r="B449" s="10">
        <v>45312</v>
      </c>
      <c r="C449" s="6" t="s">
        <v>1766</v>
      </c>
      <c r="D449" s="6" t="s">
        <v>1665</v>
      </c>
      <c r="E449" s="6" t="s">
        <v>1251</v>
      </c>
      <c r="F449" s="6" t="s">
        <v>1666</v>
      </c>
      <c r="G449" s="6" t="s">
        <v>70</v>
      </c>
      <c r="H449" s="5" t="s">
        <v>70</v>
      </c>
      <c r="I449" s="5" t="s">
        <v>71</v>
      </c>
      <c r="J449" s="5" t="s">
        <v>60</v>
      </c>
      <c r="K449" s="6" t="s">
        <v>61</v>
      </c>
      <c r="L449" s="6" t="s">
        <v>62</v>
      </c>
      <c r="M449" s="6" t="s">
        <v>63</v>
      </c>
      <c r="N449" s="6" t="s">
        <v>64</v>
      </c>
      <c r="O449" s="12">
        <v>2</v>
      </c>
      <c r="P449" s="12">
        <v>3500</v>
      </c>
      <c r="Q449" s="14">
        <v>8</v>
      </c>
      <c r="R449" s="5">
        <v>18</v>
      </c>
      <c r="S449" s="4">
        <v>7599.2</v>
      </c>
      <c r="T449" s="4" t="s">
        <v>65</v>
      </c>
      <c r="U449" s="6" t="s">
        <v>195</v>
      </c>
      <c r="V449" s="2" t="s">
        <v>138</v>
      </c>
    </row>
    <row r="450" spans="1:22" x14ac:dyDescent="0.35">
      <c r="A450" s="1" t="s">
        <v>1667</v>
      </c>
      <c r="B450" s="10">
        <v>45464</v>
      </c>
      <c r="C450" s="2" t="s">
        <v>1780</v>
      </c>
      <c r="D450" s="2" t="s">
        <v>1668</v>
      </c>
      <c r="E450" s="2" t="s">
        <v>321</v>
      </c>
      <c r="F450" s="2" t="s">
        <v>1669</v>
      </c>
      <c r="G450" s="2" t="s">
        <v>80</v>
      </c>
      <c r="H450" s="1" t="s">
        <v>81</v>
      </c>
      <c r="I450" s="1" t="s">
        <v>24</v>
      </c>
      <c r="J450" s="1" t="s">
        <v>125</v>
      </c>
      <c r="K450" s="2" t="s">
        <v>126</v>
      </c>
      <c r="L450" s="2" t="s">
        <v>27</v>
      </c>
      <c r="M450" s="2" t="s">
        <v>127</v>
      </c>
      <c r="N450" s="2" t="s">
        <v>128</v>
      </c>
      <c r="O450" s="12">
        <v>8</v>
      </c>
      <c r="P450" s="12">
        <v>50</v>
      </c>
      <c r="Q450" s="13">
        <v>5</v>
      </c>
      <c r="R450" s="1">
        <v>5</v>
      </c>
      <c r="S450" s="4">
        <v>399</v>
      </c>
      <c r="T450" s="4" t="s">
        <v>294</v>
      </c>
      <c r="U450" s="3" t="s">
        <v>137</v>
      </c>
      <c r="V450" s="2" t="s">
        <v>138</v>
      </c>
    </row>
    <row r="451" spans="1:22" x14ac:dyDescent="0.35">
      <c r="A451" s="5" t="s">
        <v>1670</v>
      </c>
      <c r="B451" s="10">
        <v>45459</v>
      </c>
      <c r="C451" s="6" t="s">
        <v>458</v>
      </c>
      <c r="D451" s="6" t="s">
        <v>1671</v>
      </c>
      <c r="E451" s="6" t="s">
        <v>1672</v>
      </c>
      <c r="F451" s="6" t="s">
        <v>1673</v>
      </c>
      <c r="G451" s="6" t="s">
        <v>237</v>
      </c>
      <c r="H451" s="5" t="s">
        <v>23</v>
      </c>
      <c r="I451" s="5" t="s">
        <v>24</v>
      </c>
      <c r="J451" s="5" t="s">
        <v>72</v>
      </c>
      <c r="K451" s="6" t="s">
        <v>73</v>
      </c>
      <c r="L451" s="6" t="s">
        <v>51</v>
      </c>
      <c r="M451" s="6" t="s">
        <v>52</v>
      </c>
      <c r="N451" s="6" t="s">
        <v>74</v>
      </c>
      <c r="O451" s="12">
        <v>1</v>
      </c>
      <c r="P451" s="12">
        <v>14000</v>
      </c>
      <c r="Q451" s="14">
        <v>8</v>
      </c>
      <c r="R451" s="5">
        <v>18</v>
      </c>
      <c r="S451" s="4">
        <v>15198.4</v>
      </c>
      <c r="T451" s="4" t="s">
        <v>94</v>
      </c>
      <c r="U451" s="3" t="s">
        <v>137</v>
      </c>
      <c r="V451" s="2" t="s">
        <v>138</v>
      </c>
    </row>
    <row r="452" spans="1:22" x14ac:dyDescent="0.35">
      <c r="A452" s="1" t="s">
        <v>1674</v>
      </c>
      <c r="B452" s="10">
        <v>45416</v>
      </c>
      <c r="C452" s="2" t="s">
        <v>1771</v>
      </c>
      <c r="D452" s="2" t="s">
        <v>1675</v>
      </c>
      <c r="E452" s="2" t="s">
        <v>834</v>
      </c>
      <c r="F452" s="2" t="s">
        <v>1676</v>
      </c>
      <c r="G452" s="2" t="s">
        <v>36</v>
      </c>
      <c r="H452" s="1" t="s">
        <v>37</v>
      </c>
      <c r="I452" s="1" t="s">
        <v>38</v>
      </c>
      <c r="J452" s="1" t="s">
        <v>242</v>
      </c>
      <c r="K452" s="2" t="s">
        <v>243</v>
      </c>
      <c r="L452" s="2" t="s">
        <v>84</v>
      </c>
      <c r="M452" s="2" t="s">
        <v>244</v>
      </c>
      <c r="N452" s="2" t="s">
        <v>245</v>
      </c>
      <c r="O452" s="12">
        <v>2</v>
      </c>
      <c r="P452" s="12">
        <v>3200</v>
      </c>
      <c r="Q452" s="13">
        <v>0</v>
      </c>
      <c r="R452" s="1">
        <v>18</v>
      </c>
      <c r="S452" s="4">
        <v>7552</v>
      </c>
      <c r="T452" s="4" t="s">
        <v>54</v>
      </c>
      <c r="U452" s="3" t="s">
        <v>137</v>
      </c>
      <c r="V452" s="2" t="s">
        <v>95</v>
      </c>
    </row>
    <row r="453" spans="1:22" x14ac:dyDescent="0.35">
      <c r="A453" s="5" t="s">
        <v>1677</v>
      </c>
      <c r="B453" s="10">
        <v>45423</v>
      </c>
      <c r="C453" s="6" t="s">
        <v>1764</v>
      </c>
      <c r="D453" s="6" t="s">
        <v>1678</v>
      </c>
      <c r="E453" s="6" t="s">
        <v>425</v>
      </c>
      <c r="F453" s="6" t="s">
        <v>1679</v>
      </c>
      <c r="G453" s="6" t="s">
        <v>349</v>
      </c>
      <c r="H453" s="5" t="s">
        <v>209</v>
      </c>
      <c r="I453" s="5" t="s">
        <v>210</v>
      </c>
      <c r="J453" s="5" t="s">
        <v>49</v>
      </c>
      <c r="K453" s="6" t="s">
        <v>50</v>
      </c>
      <c r="L453" s="6" t="s">
        <v>51</v>
      </c>
      <c r="M453" s="6" t="s">
        <v>52</v>
      </c>
      <c r="N453" s="6" t="s">
        <v>53</v>
      </c>
      <c r="O453" s="12">
        <v>6</v>
      </c>
      <c r="P453" s="12">
        <v>28000</v>
      </c>
      <c r="Q453" s="14">
        <v>5</v>
      </c>
      <c r="R453" s="5">
        <v>18</v>
      </c>
      <c r="S453" s="4">
        <v>188328</v>
      </c>
      <c r="T453" s="4" t="s">
        <v>294</v>
      </c>
      <c r="U453" s="6" t="s">
        <v>195</v>
      </c>
      <c r="V453" s="2" t="s">
        <v>95</v>
      </c>
    </row>
    <row r="454" spans="1:22" x14ac:dyDescent="0.35">
      <c r="A454" s="1" t="s">
        <v>1680</v>
      </c>
      <c r="B454" s="10">
        <v>45313</v>
      </c>
      <c r="C454" s="2" t="s">
        <v>1769</v>
      </c>
      <c r="D454" s="2" t="s">
        <v>1788</v>
      </c>
      <c r="E454" s="2" t="s">
        <v>933</v>
      </c>
      <c r="F454" s="2" t="s">
        <v>1681</v>
      </c>
      <c r="G454" s="2" t="s">
        <v>80</v>
      </c>
      <c r="H454" s="1" t="s">
        <v>81</v>
      </c>
      <c r="I454" s="1" t="s">
        <v>210</v>
      </c>
      <c r="J454" s="1" t="s">
        <v>133</v>
      </c>
      <c r="K454" s="2" t="s">
        <v>134</v>
      </c>
      <c r="L454" s="2" t="s">
        <v>51</v>
      </c>
      <c r="M454" s="2" t="s">
        <v>135</v>
      </c>
      <c r="N454" s="2" t="s">
        <v>136</v>
      </c>
      <c r="O454" s="12">
        <v>5</v>
      </c>
      <c r="P454" s="12">
        <v>0</v>
      </c>
      <c r="Q454" s="13">
        <v>0</v>
      </c>
      <c r="R454" s="1">
        <v>18</v>
      </c>
      <c r="S454" s="4">
        <v>0</v>
      </c>
      <c r="T454" s="4" t="s">
        <v>294</v>
      </c>
      <c r="U454" s="2" t="s">
        <v>30</v>
      </c>
      <c r="V454" s="2" t="s">
        <v>95</v>
      </c>
    </row>
    <row r="455" spans="1:22" x14ac:dyDescent="0.35">
      <c r="A455" s="5" t="s">
        <v>1682</v>
      </c>
      <c r="B455" s="10">
        <v>45394</v>
      </c>
      <c r="C455" s="6" t="s">
        <v>1779</v>
      </c>
      <c r="D455" s="6" t="s">
        <v>1683</v>
      </c>
      <c r="E455" s="6" t="s">
        <v>1684</v>
      </c>
      <c r="F455" s="6" t="s">
        <v>1685</v>
      </c>
      <c r="G455" s="6" t="s">
        <v>237</v>
      </c>
      <c r="H455" s="5" t="s">
        <v>23</v>
      </c>
      <c r="I455" s="5" t="s">
        <v>24</v>
      </c>
      <c r="J455" s="5" t="s">
        <v>25</v>
      </c>
      <c r="K455" s="6" t="s">
        <v>26</v>
      </c>
      <c r="L455" s="6" t="s">
        <v>27</v>
      </c>
      <c r="M455" s="6" t="s">
        <v>28</v>
      </c>
      <c r="N455" s="6" t="s">
        <v>29</v>
      </c>
      <c r="O455" s="12">
        <v>10</v>
      </c>
      <c r="P455" s="12">
        <v>450</v>
      </c>
      <c r="Q455" s="14">
        <v>5</v>
      </c>
      <c r="R455" s="5">
        <v>5</v>
      </c>
      <c r="S455" s="4">
        <v>4488.75</v>
      </c>
      <c r="T455" s="4" t="s">
        <v>54</v>
      </c>
      <c r="U455" s="6" t="s">
        <v>195</v>
      </c>
      <c r="V455" s="2" t="s">
        <v>138</v>
      </c>
    </row>
    <row r="456" spans="1:22" x14ac:dyDescent="0.35">
      <c r="A456" s="1" t="s">
        <v>1686</v>
      </c>
      <c r="B456" s="10">
        <v>45446</v>
      </c>
      <c r="C456" s="2" t="s">
        <v>1767</v>
      </c>
      <c r="D456" s="2" t="s">
        <v>1687</v>
      </c>
      <c r="E456" s="2" t="s">
        <v>90</v>
      </c>
      <c r="F456" s="2" t="s">
        <v>1688</v>
      </c>
      <c r="G456" s="2" t="s">
        <v>109</v>
      </c>
      <c r="H456" s="1" t="s">
        <v>48</v>
      </c>
      <c r="I456" s="1" t="s">
        <v>24</v>
      </c>
      <c r="J456" s="1" t="s">
        <v>60</v>
      </c>
      <c r="K456" s="2" t="s">
        <v>61</v>
      </c>
      <c r="L456" s="2" t="s">
        <v>62</v>
      </c>
      <c r="M456" s="2" t="s">
        <v>63</v>
      </c>
      <c r="N456" s="2" t="s">
        <v>64</v>
      </c>
      <c r="O456" s="12">
        <v>4</v>
      </c>
      <c r="P456" s="12">
        <v>3500</v>
      </c>
      <c r="Q456" s="13">
        <v>20</v>
      </c>
      <c r="R456" s="1">
        <v>18</v>
      </c>
      <c r="S456" s="4">
        <v>13216</v>
      </c>
      <c r="T456" s="4" t="s">
        <v>94</v>
      </c>
      <c r="U456" s="3" t="s">
        <v>30</v>
      </c>
      <c r="V456" s="2" t="s">
        <v>95</v>
      </c>
    </row>
    <row r="457" spans="1:22" x14ac:dyDescent="0.35">
      <c r="A457" s="5" t="s">
        <v>1689</v>
      </c>
      <c r="B457" s="10">
        <v>45295</v>
      </c>
      <c r="C457" s="6" t="s">
        <v>1782</v>
      </c>
      <c r="D457" s="6" t="s">
        <v>1690</v>
      </c>
      <c r="E457" s="6" t="s">
        <v>587</v>
      </c>
      <c r="F457" s="6" t="s">
        <v>1691</v>
      </c>
      <c r="G457" s="6" t="s">
        <v>315</v>
      </c>
      <c r="H457" s="5" t="s">
        <v>256</v>
      </c>
      <c r="I457" s="5" t="s">
        <v>24</v>
      </c>
      <c r="J457" s="5" t="s">
        <v>49</v>
      </c>
      <c r="K457" s="6" t="s">
        <v>50</v>
      </c>
      <c r="L457" s="6" t="s">
        <v>51</v>
      </c>
      <c r="M457" s="6" t="s">
        <v>52</v>
      </c>
      <c r="N457" s="6" t="s">
        <v>53</v>
      </c>
      <c r="O457" s="12">
        <v>1</v>
      </c>
      <c r="P457" s="12">
        <v>28000</v>
      </c>
      <c r="Q457" s="14">
        <v>25</v>
      </c>
      <c r="R457" s="5">
        <v>18</v>
      </c>
      <c r="S457" s="4">
        <v>24780</v>
      </c>
      <c r="T457" s="4" t="s">
        <v>294</v>
      </c>
      <c r="U457" s="3" t="s">
        <v>137</v>
      </c>
      <c r="V457" s="2" t="s">
        <v>138</v>
      </c>
    </row>
    <row r="458" spans="1:22" x14ac:dyDescent="0.35">
      <c r="A458" s="1" t="s">
        <v>1692</v>
      </c>
      <c r="B458" s="10">
        <v>45451</v>
      </c>
      <c r="C458" s="2" t="s">
        <v>1768</v>
      </c>
      <c r="D458" s="2" t="s">
        <v>1693</v>
      </c>
      <c r="E458" s="2" t="s">
        <v>1122</v>
      </c>
      <c r="F458" s="2" t="s">
        <v>1694</v>
      </c>
      <c r="G458" s="2" t="s">
        <v>92</v>
      </c>
      <c r="H458" s="1" t="s">
        <v>93</v>
      </c>
      <c r="I458" s="1" t="s">
        <v>38</v>
      </c>
      <c r="J458" s="1" t="s">
        <v>250</v>
      </c>
      <c r="K458" s="2" t="s">
        <v>251</v>
      </c>
      <c r="L458" s="2" t="s">
        <v>84</v>
      </c>
      <c r="M458" s="2" t="s">
        <v>85</v>
      </c>
      <c r="N458" s="2" t="s">
        <v>252</v>
      </c>
      <c r="O458" s="12">
        <v>2</v>
      </c>
      <c r="P458" s="12">
        <v>42000</v>
      </c>
      <c r="Q458" s="13">
        <v>15</v>
      </c>
      <c r="R458" s="1">
        <v>18</v>
      </c>
      <c r="S458" s="4">
        <v>84252</v>
      </c>
      <c r="T458" s="4" t="s">
        <v>65</v>
      </c>
      <c r="U458" s="2" t="s">
        <v>137</v>
      </c>
      <c r="V458" s="2" t="s">
        <v>95</v>
      </c>
    </row>
    <row r="459" spans="1:22" x14ac:dyDescent="0.35">
      <c r="A459" s="5" t="s">
        <v>1695</v>
      </c>
      <c r="B459" s="10">
        <v>45382</v>
      </c>
      <c r="C459" s="6" t="s">
        <v>233</v>
      </c>
      <c r="D459" s="6" t="s">
        <v>1696</v>
      </c>
      <c r="E459" s="6" t="s">
        <v>1585</v>
      </c>
      <c r="F459" s="6" t="s">
        <v>1697</v>
      </c>
      <c r="G459" s="6" t="s">
        <v>315</v>
      </c>
      <c r="H459" s="5" t="s">
        <v>256</v>
      </c>
      <c r="I459" s="5" t="s">
        <v>24</v>
      </c>
      <c r="J459" s="5" t="s">
        <v>25</v>
      </c>
      <c r="K459" s="6" t="s">
        <v>26</v>
      </c>
      <c r="L459" s="6" t="s">
        <v>27</v>
      </c>
      <c r="M459" s="6" t="s">
        <v>28</v>
      </c>
      <c r="N459" s="6" t="s">
        <v>29</v>
      </c>
      <c r="O459" s="12">
        <v>2</v>
      </c>
      <c r="P459" s="12">
        <v>450</v>
      </c>
      <c r="Q459" s="14">
        <v>8</v>
      </c>
      <c r="R459" s="5">
        <v>5</v>
      </c>
      <c r="S459" s="4">
        <v>869.40000000000009</v>
      </c>
      <c r="T459" s="4" t="s">
        <v>294</v>
      </c>
      <c r="U459" s="3" t="s">
        <v>87</v>
      </c>
      <c r="V459" s="2" t="s">
        <v>138</v>
      </c>
    </row>
    <row r="460" spans="1:22" x14ac:dyDescent="0.35">
      <c r="A460" s="1" t="s">
        <v>1698</v>
      </c>
      <c r="B460" s="10">
        <v>45399</v>
      </c>
      <c r="C460" s="2" t="s">
        <v>1774</v>
      </c>
      <c r="D460" s="2" t="s">
        <v>1699</v>
      </c>
      <c r="E460" s="2" t="s">
        <v>937</v>
      </c>
      <c r="F460" s="2" t="s">
        <v>1700</v>
      </c>
      <c r="G460" s="2" t="s">
        <v>166</v>
      </c>
      <c r="H460" s="1" t="s">
        <v>167</v>
      </c>
      <c r="I460" s="1" t="s">
        <v>71</v>
      </c>
      <c r="J460" s="1" t="s">
        <v>82</v>
      </c>
      <c r="K460" s="2" t="s">
        <v>83</v>
      </c>
      <c r="L460" s="2" t="s">
        <v>84</v>
      </c>
      <c r="M460" s="2" t="s">
        <v>85</v>
      </c>
      <c r="N460" s="2" t="s">
        <v>86</v>
      </c>
      <c r="O460" s="12">
        <v>8</v>
      </c>
      <c r="P460" s="12">
        <v>12000</v>
      </c>
      <c r="Q460" s="13">
        <v>15</v>
      </c>
      <c r="R460" s="1">
        <v>18</v>
      </c>
      <c r="S460" s="4">
        <v>96288</v>
      </c>
      <c r="T460" s="4" t="s">
        <v>94</v>
      </c>
      <c r="U460" s="3" t="s">
        <v>137</v>
      </c>
      <c r="V460" s="2" t="s">
        <v>138</v>
      </c>
    </row>
    <row r="461" spans="1:22" x14ac:dyDescent="0.35">
      <c r="A461" s="5" t="s">
        <v>1701</v>
      </c>
      <c r="B461" s="10">
        <v>45353</v>
      </c>
      <c r="C461" s="6" t="s">
        <v>1770</v>
      </c>
      <c r="D461" s="6" t="s">
        <v>1702</v>
      </c>
      <c r="E461" s="6" t="s">
        <v>123</v>
      </c>
      <c r="F461" s="6" t="s">
        <v>1703</v>
      </c>
      <c r="G461" s="6" t="s">
        <v>70</v>
      </c>
      <c r="H461" s="5" t="s">
        <v>70</v>
      </c>
      <c r="I461" s="5" t="s">
        <v>71</v>
      </c>
      <c r="J461" s="5" t="s">
        <v>100</v>
      </c>
      <c r="K461" s="6" t="s">
        <v>1790</v>
      </c>
      <c r="L461" s="6" t="s">
        <v>51</v>
      </c>
      <c r="M461" s="6" t="s">
        <v>102</v>
      </c>
      <c r="N461" s="6" t="s">
        <v>103</v>
      </c>
      <c r="O461" s="12">
        <v>8</v>
      </c>
      <c r="P461" s="12">
        <v>0</v>
      </c>
      <c r="Q461" s="14">
        <v>20</v>
      </c>
      <c r="R461" s="5">
        <v>18</v>
      </c>
      <c r="S461" s="4">
        <v>0</v>
      </c>
      <c r="T461" s="4" t="s">
        <v>65</v>
      </c>
      <c r="U461" s="3" t="s">
        <v>137</v>
      </c>
      <c r="V461" s="2" t="s">
        <v>95</v>
      </c>
    </row>
    <row r="462" spans="1:22" x14ac:dyDescent="0.35">
      <c r="A462" s="1" t="s">
        <v>1704</v>
      </c>
      <c r="B462" s="10">
        <v>45425</v>
      </c>
      <c r="C462" s="2" t="s">
        <v>1775</v>
      </c>
      <c r="D462" s="2" t="s">
        <v>1705</v>
      </c>
      <c r="E462" s="2" t="s">
        <v>1706</v>
      </c>
      <c r="F462" s="2" t="s">
        <v>1707</v>
      </c>
      <c r="G462" s="2" t="s">
        <v>92</v>
      </c>
      <c r="H462" s="1" t="s">
        <v>93</v>
      </c>
      <c r="I462" s="1" t="s">
        <v>38</v>
      </c>
      <c r="J462" s="1" t="s">
        <v>49</v>
      </c>
      <c r="K462" s="2" t="s">
        <v>50</v>
      </c>
      <c r="L462" s="2" t="s">
        <v>51</v>
      </c>
      <c r="M462" s="2" t="s">
        <v>52</v>
      </c>
      <c r="N462" s="2" t="s">
        <v>53</v>
      </c>
      <c r="O462" s="12">
        <v>8</v>
      </c>
      <c r="P462" s="12">
        <v>28000</v>
      </c>
      <c r="Q462" s="13">
        <v>8</v>
      </c>
      <c r="R462" s="1">
        <v>18</v>
      </c>
      <c r="S462" s="4">
        <v>243174.39999999999</v>
      </c>
      <c r="T462" s="4" t="s">
        <v>1793</v>
      </c>
      <c r="U462" s="3" t="s">
        <v>30</v>
      </c>
      <c r="V462" s="2" t="s">
        <v>138</v>
      </c>
    </row>
    <row r="463" spans="1:22" x14ac:dyDescent="0.35">
      <c r="A463" s="5" t="s">
        <v>1708</v>
      </c>
      <c r="B463" s="10">
        <v>45318</v>
      </c>
      <c r="C463" s="6" t="s">
        <v>1763</v>
      </c>
      <c r="D463" s="6" t="s">
        <v>1709</v>
      </c>
      <c r="E463" s="6" t="s">
        <v>713</v>
      </c>
      <c r="F463" s="6" t="s">
        <v>1710</v>
      </c>
      <c r="G463" s="6" t="s">
        <v>109</v>
      </c>
      <c r="H463" s="5" t="s">
        <v>48</v>
      </c>
      <c r="I463" s="5" t="s">
        <v>24</v>
      </c>
      <c r="J463" s="5" t="s">
        <v>72</v>
      </c>
      <c r="K463" s="6" t="s">
        <v>73</v>
      </c>
      <c r="L463" s="6" t="s">
        <v>51</v>
      </c>
      <c r="M463" s="6" t="s">
        <v>52</v>
      </c>
      <c r="N463" s="6" t="s">
        <v>74</v>
      </c>
      <c r="O463" s="12">
        <v>1</v>
      </c>
      <c r="P463" s="12">
        <v>14000</v>
      </c>
      <c r="Q463" s="14">
        <v>15</v>
      </c>
      <c r="R463" s="5">
        <v>18</v>
      </c>
      <c r="S463" s="4">
        <v>14042</v>
      </c>
      <c r="T463" s="4" t="s">
        <v>65</v>
      </c>
      <c r="U463" s="3" t="s">
        <v>137</v>
      </c>
      <c r="V463" s="2" t="s">
        <v>138</v>
      </c>
    </row>
    <row r="464" spans="1:22" x14ac:dyDescent="0.35">
      <c r="A464" s="1" t="s">
        <v>1711</v>
      </c>
      <c r="B464" s="10">
        <v>45444</v>
      </c>
      <c r="C464" s="2" t="s">
        <v>1781</v>
      </c>
      <c r="D464" s="2" t="s">
        <v>1712</v>
      </c>
      <c r="E464" s="2" t="s">
        <v>340</v>
      </c>
      <c r="F464" s="2" t="s">
        <v>1713</v>
      </c>
      <c r="G464" s="2" t="s">
        <v>109</v>
      </c>
      <c r="H464" s="1" t="s">
        <v>48</v>
      </c>
      <c r="I464" s="1" t="s">
        <v>24</v>
      </c>
      <c r="J464" s="1" t="s">
        <v>276</v>
      </c>
      <c r="K464" s="2" t="s">
        <v>277</v>
      </c>
      <c r="L464" s="2" t="s">
        <v>51</v>
      </c>
      <c r="M464" s="2" t="s">
        <v>102</v>
      </c>
      <c r="N464" s="2" t="s">
        <v>278</v>
      </c>
      <c r="O464" s="12">
        <v>2</v>
      </c>
      <c r="P464" s="12">
        <v>1500</v>
      </c>
      <c r="Q464" s="13">
        <v>15</v>
      </c>
      <c r="R464" s="1">
        <v>18</v>
      </c>
      <c r="S464" s="4">
        <v>3009</v>
      </c>
      <c r="T464" s="4" t="s">
        <v>1794</v>
      </c>
      <c r="U464" s="3" t="s">
        <v>116</v>
      </c>
      <c r="V464" s="2" t="s">
        <v>138</v>
      </c>
    </row>
    <row r="465" spans="1:22" x14ac:dyDescent="0.35">
      <c r="A465" s="5" t="s">
        <v>1714</v>
      </c>
      <c r="B465" s="10">
        <v>45329</v>
      </c>
      <c r="C465" s="6" t="s">
        <v>1786</v>
      </c>
      <c r="D465" s="6" t="s">
        <v>1715</v>
      </c>
      <c r="E465" s="6" t="s">
        <v>772</v>
      </c>
      <c r="F465" s="6" t="s">
        <v>1716</v>
      </c>
      <c r="G465" s="6" t="s">
        <v>80</v>
      </c>
      <c r="H465" s="5" t="s">
        <v>81</v>
      </c>
      <c r="I465" s="5" t="s">
        <v>24</v>
      </c>
      <c r="J465" s="5" t="s">
        <v>257</v>
      </c>
      <c r="K465" s="6" t="s">
        <v>258</v>
      </c>
      <c r="L465" s="6" t="s">
        <v>62</v>
      </c>
      <c r="M465" s="6" t="s">
        <v>259</v>
      </c>
      <c r="N465" s="6" t="s">
        <v>260</v>
      </c>
      <c r="O465" s="12">
        <v>8</v>
      </c>
      <c r="P465" s="12">
        <v>3500</v>
      </c>
      <c r="Q465" s="14">
        <v>12</v>
      </c>
      <c r="R465" s="5">
        <v>5</v>
      </c>
      <c r="S465" s="4">
        <v>25872</v>
      </c>
      <c r="T465" s="4" t="s">
        <v>294</v>
      </c>
      <c r="U465" s="3" t="s">
        <v>116</v>
      </c>
      <c r="V465" s="2" t="s">
        <v>138</v>
      </c>
    </row>
    <row r="466" spans="1:22" x14ac:dyDescent="0.35">
      <c r="A466" s="1" t="s">
        <v>1717</v>
      </c>
      <c r="B466" s="10">
        <v>45371</v>
      </c>
      <c r="C466" s="2" t="s">
        <v>525</v>
      </c>
      <c r="D466" s="2" t="s">
        <v>1718</v>
      </c>
      <c r="E466" s="2" t="s">
        <v>796</v>
      </c>
      <c r="F466" s="2" t="s">
        <v>1719</v>
      </c>
      <c r="G466" s="2" t="s">
        <v>349</v>
      </c>
      <c r="H466" s="1" t="s">
        <v>209</v>
      </c>
      <c r="I466" s="1" t="s">
        <v>210</v>
      </c>
      <c r="J466" s="1" t="s">
        <v>125</v>
      </c>
      <c r="K466" s="2" t="s">
        <v>126</v>
      </c>
      <c r="L466" s="2" t="s">
        <v>27</v>
      </c>
      <c r="M466" s="2" t="s">
        <v>127</v>
      </c>
      <c r="N466" s="2" t="s">
        <v>128</v>
      </c>
      <c r="O466" s="12">
        <v>7</v>
      </c>
      <c r="P466" s="12">
        <v>50</v>
      </c>
      <c r="Q466" s="13">
        <v>8</v>
      </c>
      <c r="R466" s="1">
        <v>5</v>
      </c>
      <c r="S466" s="4">
        <v>338.1</v>
      </c>
      <c r="T466" s="4" t="s">
        <v>94</v>
      </c>
      <c r="U466" s="3" t="s">
        <v>137</v>
      </c>
      <c r="V466" s="2" t="s">
        <v>95</v>
      </c>
    </row>
    <row r="467" spans="1:22" x14ac:dyDescent="0.35">
      <c r="A467" s="5" t="s">
        <v>1720</v>
      </c>
      <c r="B467" s="10">
        <v>45306</v>
      </c>
      <c r="C467" s="6" t="s">
        <v>197</v>
      </c>
      <c r="D467" s="6" t="s">
        <v>1721</v>
      </c>
      <c r="E467" s="6" t="s">
        <v>385</v>
      </c>
      <c r="F467" s="6" t="s">
        <v>1722</v>
      </c>
      <c r="G467" s="6" t="s">
        <v>80</v>
      </c>
      <c r="H467" s="5" t="s">
        <v>81</v>
      </c>
      <c r="I467" s="5" t="s">
        <v>24</v>
      </c>
      <c r="J467" s="5" t="s">
        <v>60</v>
      </c>
      <c r="K467" s="6" t="s">
        <v>61</v>
      </c>
      <c r="L467" s="6" t="s">
        <v>62</v>
      </c>
      <c r="M467" s="6" t="s">
        <v>63</v>
      </c>
      <c r="N467" s="6" t="s">
        <v>64</v>
      </c>
      <c r="O467" s="12">
        <v>9</v>
      </c>
      <c r="P467" s="12">
        <v>3500</v>
      </c>
      <c r="Q467" s="14">
        <v>5</v>
      </c>
      <c r="R467" s="5">
        <v>18</v>
      </c>
      <c r="S467" s="4">
        <v>35311.5</v>
      </c>
      <c r="T467" s="4" t="s">
        <v>94</v>
      </c>
      <c r="U467" s="3" t="s">
        <v>87</v>
      </c>
      <c r="V467" s="2" t="s">
        <v>138</v>
      </c>
    </row>
    <row r="468" spans="1:22" x14ac:dyDescent="0.35">
      <c r="A468" s="1" t="s">
        <v>1723</v>
      </c>
      <c r="B468" s="10">
        <v>45317</v>
      </c>
      <c r="C468" s="2" t="s">
        <v>262</v>
      </c>
      <c r="D468" s="2" t="s">
        <v>1724</v>
      </c>
      <c r="E468" s="2" t="s">
        <v>306</v>
      </c>
      <c r="F468" s="2" t="s">
        <v>1725</v>
      </c>
      <c r="G468" s="2" t="s">
        <v>550</v>
      </c>
      <c r="H468" s="1" t="s">
        <v>37</v>
      </c>
      <c r="I468" s="1" t="s">
        <v>38</v>
      </c>
      <c r="J468" s="1" t="s">
        <v>49</v>
      </c>
      <c r="K468" s="2" t="s">
        <v>50</v>
      </c>
      <c r="L468" s="2" t="s">
        <v>51</v>
      </c>
      <c r="M468" s="2" t="s">
        <v>52</v>
      </c>
      <c r="N468" s="2" t="s">
        <v>53</v>
      </c>
      <c r="O468" s="12">
        <v>4</v>
      </c>
      <c r="P468" s="12">
        <v>28000</v>
      </c>
      <c r="Q468" s="13">
        <v>12</v>
      </c>
      <c r="R468" s="1">
        <v>18</v>
      </c>
      <c r="S468" s="4">
        <v>116300.79999999999</v>
      </c>
      <c r="T468" s="20" t="s">
        <v>294</v>
      </c>
      <c r="U468" s="3" t="s">
        <v>137</v>
      </c>
      <c r="V468" s="2" t="s">
        <v>95</v>
      </c>
    </row>
    <row r="469" spans="1:22" x14ac:dyDescent="0.35">
      <c r="A469" s="5" t="s">
        <v>1726</v>
      </c>
      <c r="B469" s="10">
        <v>45376</v>
      </c>
      <c r="C469" s="6" t="s">
        <v>525</v>
      </c>
      <c r="D469" s="6" t="s">
        <v>1727</v>
      </c>
      <c r="E469" s="6" t="s">
        <v>796</v>
      </c>
      <c r="F469" s="6" t="s">
        <v>1728</v>
      </c>
      <c r="G469" s="6" t="s">
        <v>92</v>
      </c>
      <c r="H469" s="5" t="s">
        <v>93</v>
      </c>
      <c r="I469" s="5" t="s">
        <v>38</v>
      </c>
      <c r="J469" s="5" t="s">
        <v>60</v>
      </c>
      <c r="K469" s="6" t="s">
        <v>61</v>
      </c>
      <c r="L469" s="6" t="s">
        <v>62</v>
      </c>
      <c r="M469" s="6" t="s">
        <v>63</v>
      </c>
      <c r="N469" s="6" t="s">
        <v>64</v>
      </c>
      <c r="O469" s="12">
        <v>2</v>
      </c>
      <c r="P469" s="12">
        <v>3500</v>
      </c>
      <c r="Q469" s="14">
        <v>25</v>
      </c>
      <c r="R469" s="5">
        <v>18</v>
      </c>
      <c r="S469" s="4">
        <v>6195</v>
      </c>
      <c r="T469" s="4" t="s">
        <v>1794</v>
      </c>
      <c r="U469" s="3" t="s">
        <v>137</v>
      </c>
      <c r="V469" s="2" t="s">
        <v>95</v>
      </c>
    </row>
    <row r="470" spans="1:22" x14ac:dyDescent="0.35">
      <c r="A470" s="1" t="s">
        <v>1729</v>
      </c>
      <c r="B470" s="10">
        <v>45338</v>
      </c>
      <c r="C470" s="2" t="s">
        <v>177</v>
      </c>
      <c r="D470" s="2" t="s">
        <v>1730</v>
      </c>
      <c r="E470" s="2" t="s">
        <v>1067</v>
      </c>
      <c r="F470" s="2" t="s">
        <v>1731</v>
      </c>
      <c r="G470" s="2" t="s">
        <v>315</v>
      </c>
      <c r="H470" s="1" t="s">
        <v>256</v>
      </c>
      <c r="I470" s="1" t="s">
        <v>24</v>
      </c>
      <c r="J470" s="1" t="s">
        <v>201</v>
      </c>
      <c r="K470" s="2" t="s">
        <v>202</v>
      </c>
      <c r="L470" s="2" t="s">
        <v>27</v>
      </c>
      <c r="M470" s="2" t="s">
        <v>203</v>
      </c>
      <c r="N470" s="2" t="s">
        <v>204</v>
      </c>
      <c r="O470" s="12">
        <v>6</v>
      </c>
      <c r="P470" s="12">
        <v>280</v>
      </c>
      <c r="Q470" s="13">
        <v>20</v>
      </c>
      <c r="R470" s="1">
        <v>5</v>
      </c>
      <c r="S470" s="4">
        <v>1411.2</v>
      </c>
      <c r="T470" s="4" t="s">
        <v>1793</v>
      </c>
      <c r="U470" s="3" t="s">
        <v>30</v>
      </c>
      <c r="V470" s="2" t="s">
        <v>138</v>
      </c>
    </row>
    <row r="471" spans="1:22" x14ac:dyDescent="0.35">
      <c r="A471" s="5" t="s">
        <v>1732</v>
      </c>
      <c r="B471" s="10">
        <v>45350</v>
      </c>
      <c r="C471" s="6" t="s">
        <v>1777</v>
      </c>
      <c r="D471" s="6" t="s">
        <v>1733</v>
      </c>
      <c r="E471" s="6" t="s">
        <v>953</v>
      </c>
      <c r="F471" s="6" t="s">
        <v>1734</v>
      </c>
      <c r="G471" s="6" t="s">
        <v>150</v>
      </c>
      <c r="H471" s="5" t="s">
        <v>93</v>
      </c>
      <c r="I471" s="5" t="s">
        <v>38</v>
      </c>
      <c r="J471" s="5" t="s">
        <v>257</v>
      </c>
      <c r="K471" s="6" t="s">
        <v>258</v>
      </c>
      <c r="L471" s="6" t="s">
        <v>62</v>
      </c>
      <c r="M471" s="6" t="s">
        <v>259</v>
      </c>
      <c r="N471" s="6" t="s">
        <v>260</v>
      </c>
      <c r="O471" s="12">
        <v>4</v>
      </c>
      <c r="P471" s="12">
        <v>3500</v>
      </c>
      <c r="Q471" s="14">
        <v>8</v>
      </c>
      <c r="R471" s="5">
        <v>5</v>
      </c>
      <c r="S471" s="4">
        <v>13524</v>
      </c>
      <c r="T471" s="4" t="s">
        <v>294</v>
      </c>
      <c r="U471" s="3" t="s">
        <v>137</v>
      </c>
      <c r="V471" s="2" t="s">
        <v>138</v>
      </c>
    </row>
    <row r="472" spans="1:22" x14ac:dyDescent="0.35">
      <c r="A472" s="1" t="s">
        <v>1735</v>
      </c>
      <c r="B472" s="10">
        <v>45298</v>
      </c>
      <c r="C472" s="2" t="s">
        <v>1763</v>
      </c>
      <c r="D472" s="2" t="s">
        <v>1736</v>
      </c>
      <c r="E472" s="2" t="s">
        <v>240</v>
      </c>
      <c r="F472" s="2" t="s">
        <v>1737</v>
      </c>
      <c r="G472" s="2" t="s">
        <v>166</v>
      </c>
      <c r="H472" s="1" t="s">
        <v>167</v>
      </c>
      <c r="I472" s="1" t="s">
        <v>71</v>
      </c>
      <c r="J472" s="1" t="s">
        <v>242</v>
      </c>
      <c r="K472" s="2" t="s">
        <v>243</v>
      </c>
      <c r="L472" s="2" t="s">
        <v>84</v>
      </c>
      <c r="M472" s="2" t="s">
        <v>244</v>
      </c>
      <c r="N472" s="2" t="s">
        <v>245</v>
      </c>
      <c r="O472" s="12">
        <v>1</v>
      </c>
      <c r="P472" s="12">
        <v>3200</v>
      </c>
      <c r="Q472" s="13">
        <v>80</v>
      </c>
      <c r="R472" s="1">
        <v>18</v>
      </c>
      <c r="S472" s="4">
        <v>755.19999999999982</v>
      </c>
      <c r="T472" s="4" t="s">
        <v>1794</v>
      </c>
      <c r="U472" s="2" t="s">
        <v>195</v>
      </c>
      <c r="V472" s="2" t="s">
        <v>95</v>
      </c>
    </row>
    <row r="473" spans="1:22" x14ac:dyDescent="0.35">
      <c r="A473" s="5" t="s">
        <v>1738</v>
      </c>
      <c r="B473" s="10">
        <v>45455</v>
      </c>
      <c r="C473" s="6" t="s">
        <v>1785</v>
      </c>
      <c r="D473" s="6" t="s">
        <v>1739</v>
      </c>
      <c r="E473" s="6" t="s">
        <v>911</v>
      </c>
      <c r="F473" s="6" t="s">
        <v>1740</v>
      </c>
      <c r="G473" s="6" t="s">
        <v>349</v>
      </c>
      <c r="H473" s="5" t="s">
        <v>209</v>
      </c>
      <c r="I473" s="5" t="s">
        <v>210</v>
      </c>
      <c r="J473" s="5" t="s">
        <v>133</v>
      </c>
      <c r="K473" s="6" t="s">
        <v>134</v>
      </c>
      <c r="L473" s="6" t="s">
        <v>51</v>
      </c>
      <c r="M473" s="6" t="s">
        <v>135</v>
      </c>
      <c r="N473" s="6" t="s">
        <v>136</v>
      </c>
      <c r="O473" s="12">
        <v>10</v>
      </c>
      <c r="P473" s="12">
        <v>55000</v>
      </c>
      <c r="Q473" s="14">
        <v>25</v>
      </c>
      <c r="R473" s="5">
        <v>18</v>
      </c>
      <c r="S473" s="4">
        <v>486750</v>
      </c>
      <c r="T473" s="4" t="s">
        <v>1793</v>
      </c>
      <c r="U473" s="6" t="s">
        <v>87</v>
      </c>
      <c r="V473" s="2" t="s">
        <v>95</v>
      </c>
    </row>
    <row r="474" spans="1:22" x14ac:dyDescent="0.35">
      <c r="A474" s="1" t="s">
        <v>1741</v>
      </c>
      <c r="B474" s="10">
        <v>45384</v>
      </c>
      <c r="C474" s="2" t="s">
        <v>105</v>
      </c>
      <c r="D474" s="2" t="s">
        <v>1742</v>
      </c>
      <c r="E474" s="2" t="s">
        <v>1115</v>
      </c>
      <c r="F474" s="2" t="s">
        <v>1743</v>
      </c>
      <c r="G474" s="2" t="s">
        <v>70</v>
      </c>
      <c r="H474" s="1" t="s">
        <v>70</v>
      </c>
      <c r="I474" s="1" t="s">
        <v>71</v>
      </c>
      <c r="J474" s="1" t="s">
        <v>39</v>
      </c>
      <c r="K474" s="2" t="s">
        <v>40</v>
      </c>
      <c r="L474" s="2" t="s">
        <v>41</v>
      </c>
      <c r="M474" s="2" t="s">
        <v>42</v>
      </c>
      <c r="N474" s="2" t="s">
        <v>43</v>
      </c>
      <c r="O474" s="12">
        <v>10</v>
      </c>
      <c r="P474" s="12">
        <v>25000</v>
      </c>
      <c r="Q474" s="13">
        <v>12</v>
      </c>
      <c r="R474" s="1">
        <v>3</v>
      </c>
      <c r="S474" s="4">
        <v>226600</v>
      </c>
      <c r="T474" s="4" t="s">
        <v>65</v>
      </c>
      <c r="U474" s="2" t="s">
        <v>87</v>
      </c>
      <c r="V474" s="2" t="s">
        <v>95</v>
      </c>
    </row>
    <row r="475" spans="1:22" x14ac:dyDescent="0.35">
      <c r="A475" s="5" t="s">
        <v>1744</v>
      </c>
      <c r="B475" s="10">
        <v>45429</v>
      </c>
      <c r="C475" s="6" t="s">
        <v>1781</v>
      </c>
      <c r="D475" s="6" t="s">
        <v>1745</v>
      </c>
      <c r="E475" s="6" t="s">
        <v>854</v>
      </c>
      <c r="F475" s="6" t="s">
        <v>1746</v>
      </c>
      <c r="G475" s="6" t="s">
        <v>166</v>
      </c>
      <c r="H475" s="5" t="s">
        <v>167</v>
      </c>
      <c r="I475" s="5" t="s">
        <v>71</v>
      </c>
      <c r="J475" s="5" t="s">
        <v>172</v>
      </c>
      <c r="K475" s="6" t="s">
        <v>173</v>
      </c>
      <c r="L475" s="6" t="s">
        <v>84</v>
      </c>
      <c r="M475" s="6" t="s">
        <v>174</v>
      </c>
      <c r="N475" s="6" t="s">
        <v>175</v>
      </c>
      <c r="O475" s="12">
        <v>7</v>
      </c>
      <c r="P475" s="12">
        <v>299</v>
      </c>
      <c r="Q475" s="14">
        <v>0</v>
      </c>
      <c r="R475" s="5">
        <v>18</v>
      </c>
      <c r="S475" s="4">
        <v>2469.7399999999998</v>
      </c>
      <c r="T475" s="4" t="s">
        <v>1793</v>
      </c>
      <c r="U475" s="3" t="s">
        <v>87</v>
      </c>
      <c r="V475" s="2" t="s">
        <v>95</v>
      </c>
    </row>
    <row r="476" spans="1:22" x14ac:dyDescent="0.35">
      <c r="A476" s="1" t="s">
        <v>1747</v>
      </c>
      <c r="B476" s="10">
        <v>45310</v>
      </c>
      <c r="C476" s="2" t="s">
        <v>330</v>
      </c>
      <c r="D476" s="2" t="s">
        <v>1748</v>
      </c>
      <c r="E476" s="2" t="s">
        <v>332</v>
      </c>
      <c r="F476" s="2" t="s">
        <v>1749</v>
      </c>
      <c r="G476" s="2" t="s">
        <v>315</v>
      </c>
      <c r="H476" s="1" t="s">
        <v>256</v>
      </c>
      <c r="I476" s="1" t="s">
        <v>24</v>
      </c>
      <c r="J476" s="1" t="s">
        <v>82</v>
      </c>
      <c r="K476" s="2" t="s">
        <v>83</v>
      </c>
      <c r="L476" s="2" t="s">
        <v>84</v>
      </c>
      <c r="M476" s="2" t="s">
        <v>85</v>
      </c>
      <c r="N476" s="2" t="s">
        <v>86</v>
      </c>
      <c r="O476" s="12">
        <v>8</v>
      </c>
      <c r="P476" s="12">
        <v>12000</v>
      </c>
      <c r="Q476" s="13">
        <v>20</v>
      </c>
      <c r="R476" s="1">
        <v>18</v>
      </c>
      <c r="S476" s="4">
        <v>90624</v>
      </c>
      <c r="T476" s="4" t="s">
        <v>65</v>
      </c>
      <c r="U476" s="3" t="s">
        <v>30</v>
      </c>
      <c r="V476" s="2" t="s">
        <v>95</v>
      </c>
    </row>
    <row r="477" spans="1:22" x14ac:dyDescent="0.35">
      <c r="A477" s="5" t="s">
        <v>1750</v>
      </c>
      <c r="B477" s="10">
        <v>45329</v>
      </c>
      <c r="C477" s="6" t="s">
        <v>1767</v>
      </c>
      <c r="D477" s="6" t="s">
        <v>1751</v>
      </c>
      <c r="E477" s="6" t="s">
        <v>678</v>
      </c>
      <c r="F477" s="3" t="s">
        <v>1789</v>
      </c>
      <c r="G477" s="3" t="s">
        <v>237</v>
      </c>
      <c r="H477" s="5" t="s">
        <v>23</v>
      </c>
      <c r="I477" s="5" t="s">
        <v>24</v>
      </c>
      <c r="J477" s="5" t="s">
        <v>257</v>
      </c>
      <c r="K477" s="6" t="s">
        <v>1790</v>
      </c>
      <c r="L477" s="6" t="s">
        <v>62</v>
      </c>
      <c r="M477" s="6" t="s">
        <v>259</v>
      </c>
      <c r="N477" s="6" t="s">
        <v>260</v>
      </c>
      <c r="O477" s="12">
        <v>5</v>
      </c>
      <c r="P477" s="12">
        <v>3500</v>
      </c>
      <c r="Q477" s="14">
        <v>10</v>
      </c>
      <c r="R477" s="5">
        <v>5</v>
      </c>
      <c r="S477" s="4">
        <v>16537.5</v>
      </c>
      <c r="T477" s="4" t="s">
        <v>294</v>
      </c>
      <c r="U477" s="6" t="s">
        <v>116</v>
      </c>
      <c r="V477" s="2" t="s">
        <v>95</v>
      </c>
    </row>
    <row r="478" spans="1:22" x14ac:dyDescent="0.35">
      <c r="A478" s="1" t="s">
        <v>1752</v>
      </c>
      <c r="B478" s="10">
        <v>45298</v>
      </c>
      <c r="C478" s="2" t="s">
        <v>1766</v>
      </c>
      <c r="D478" s="2" t="s">
        <v>1753</v>
      </c>
      <c r="E478" s="2" t="s">
        <v>1251</v>
      </c>
      <c r="F478" s="2" t="s">
        <v>1754</v>
      </c>
      <c r="G478" s="2" t="s">
        <v>150</v>
      </c>
      <c r="H478" s="1" t="s">
        <v>93</v>
      </c>
      <c r="I478" s="1" t="s">
        <v>38</v>
      </c>
      <c r="J478" s="1" t="s">
        <v>82</v>
      </c>
      <c r="K478" s="2" t="s">
        <v>83</v>
      </c>
      <c r="L478" s="2" t="s">
        <v>84</v>
      </c>
      <c r="M478" s="2" t="s">
        <v>85</v>
      </c>
      <c r="N478" s="2" t="s">
        <v>86</v>
      </c>
      <c r="O478" s="12">
        <v>4</v>
      </c>
      <c r="P478" s="12">
        <v>12000</v>
      </c>
      <c r="Q478" s="13">
        <v>10</v>
      </c>
      <c r="R478" s="1">
        <v>18</v>
      </c>
      <c r="S478" s="4">
        <v>50976</v>
      </c>
      <c r="T478" s="4" t="s">
        <v>65</v>
      </c>
      <c r="U478" s="2" t="s">
        <v>87</v>
      </c>
      <c r="V478" s="2" t="s">
        <v>138</v>
      </c>
    </row>
    <row r="479" spans="1:22" x14ac:dyDescent="0.35">
      <c r="A479" s="5" t="s">
        <v>1755</v>
      </c>
      <c r="B479" s="10">
        <v>45414</v>
      </c>
      <c r="C479" s="6" t="s">
        <v>197</v>
      </c>
      <c r="D479" s="6" t="s">
        <v>1756</v>
      </c>
      <c r="E479" s="6" t="s">
        <v>199</v>
      </c>
      <c r="F479" s="3" t="s">
        <v>1789</v>
      </c>
      <c r="G479" s="3" t="s">
        <v>92</v>
      </c>
      <c r="H479" s="5" t="s">
        <v>93</v>
      </c>
      <c r="I479" s="5" t="s">
        <v>38</v>
      </c>
      <c r="J479" s="5" t="s">
        <v>60</v>
      </c>
      <c r="K479" s="6" t="s">
        <v>61</v>
      </c>
      <c r="L479" s="6" t="s">
        <v>62</v>
      </c>
      <c r="M479" s="6" t="s">
        <v>63</v>
      </c>
      <c r="N479" s="6" t="s">
        <v>64</v>
      </c>
      <c r="O479" s="12">
        <v>9</v>
      </c>
      <c r="P479" s="12">
        <v>3500</v>
      </c>
      <c r="Q479" s="14">
        <v>15</v>
      </c>
      <c r="R479" s="5">
        <v>18</v>
      </c>
      <c r="S479" s="4">
        <v>31594.5</v>
      </c>
      <c r="T479" s="4" t="s">
        <v>94</v>
      </c>
      <c r="U479" s="3" t="s">
        <v>87</v>
      </c>
      <c r="V479" s="2" t="s">
        <v>95</v>
      </c>
    </row>
    <row r="480" spans="1:22" x14ac:dyDescent="0.35">
      <c r="A480" s="1" t="s">
        <v>1757</v>
      </c>
      <c r="B480" s="10">
        <v>45337</v>
      </c>
      <c r="C480" s="2" t="s">
        <v>1772</v>
      </c>
      <c r="D480" s="2" t="s">
        <v>1758</v>
      </c>
      <c r="E480" s="2" t="s">
        <v>717</v>
      </c>
      <c r="F480" s="2" t="s">
        <v>1759</v>
      </c>
      <c r="G480" s="2" t="s">
        <v>109</v>
      </c>
      <c r="H480" s="1" t="s">
        <v>48</v>
      </c>
      <c r="I480" s="1" t="s">
        <v>24</v>
      </c>
      <c r="J480" s="1" t="s">
        <v>342</v>
      </c>
      <c r="K480" s="2" t="s">
        <v>343</v>
      </c>
      <c r="L480" s="2" t="s">
        <v>84</v>
      </c>
      <c r="M480" s="2" t="s">
        <v>244</v>
      </c>
      <c r="N480" s="2" t="s">
        <v>344</v>
      </c>
      <c r="O480" s="12">
        <v>5</v>
      </c>
      <c r="P480" s="12">
        <v>2200</v>
      </c>
      <c r="Q480" s="13">
        <v>80</v>
      </c>
      <c r="R480" s="1">
        <v>12</v>
      </c>
      <c r="S480" s="4">
        <v>2463.9999999999995</v>
      </c>
      <c r="T480" s="4" t="s">
        <v>1793</v>
      </c>
      <c r="U480" s="2" t="s">
        <v>116</v>
      </c>
      <c r="V480" s="2" t="s">
        <v>95</v>
      </c>
    </row>
    <row r="481" spans="1:22" x14ac:dyDescent="0.35">
      <c r="A481" s="5" t="s">
        <v>1760</v>
      </c>
      <c r="B481" s="10">
        <v>45370</v>
      </c>
      <c r="C481" s="6" t="s">
        <v>1787</v>
      </c>
      <c r="D481" s="6" t="s">
        <v>1761</v>
      </c>
      <c r="E481" s="6" t="s">
        <v>830</v>
      </c>
      <c r="F481" s="6" t="s">
        <v>1762</v>
      </c>
      <c r="G481" s="6" t="s">
        <v>349</v>
      </c>
      <c r="H481" s="5" t="s">
        <v>209</v>
      </c>
      <c r="I481" s="5" t="s">
        <v>210</v>
      </c>
      <c r="J481" s="5" t="s">
        <v>100</v>
      </c>
      <c r="K481" s="6" t="s">
        <v>101</v>
      </c>
      <c r="L481" s="6" t="s">
        <v>51</v>
      </c>
      <c r="M481" s="6" t="s">
        <v>102</v>
      </c>
      <c r="N481" s="6" t="s">
        <v>103</v>
      </c>
      <c r="O481" s="12">
        <v>3</v>
      </c>
      <c r="P481" s="12">
        <v>2800</v>
      </c>
      <c r="Q481" s="14">
        <v>8</v>
      </c>
      <c r="R481" s="5">
        <v>18</v>
      </c>
      <c r="S481" s="4">
        <v>9119.0399999999991</v>
      </c>
      <c r="T481" s="4" t="s">
        <v>1793</v>
      </c>
      <c r="U481" s="3" t="s">
        <v>137</v>
      </c>
      <c r="V481" s="2" t="s">
        <v>95</v>
      </c>
    </row>
  </sheetData>
  <phoneticPr fontId="6" type="noConversion"/>
  <pageMargins left="0.7" right="0.7" top="0.75" bottom="0.75" header="0.3" footer="0.3"/>
  <ignoredErrors>
    <ignoredError sqref="C2:C3"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E5E00-C09C-4784-BAAA-A0904D263633}">
  <dimension ref="A1"/>
  <sheetViews>
    <sheetView tabSelected="1" zoomScale="40" zoomScaleNormal="40" workbookViewId="0">
      <selection activeCell="AI38" sqref="AI3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FD58-CCDC-430D-A43F-2774E24EA352}">
  <sheetPr>
    <tabColor rgb="FF0070C0"/>
  </sheetPr>
  <dimension ref="A1:AA89"/>
  <sheetViews>
    <sheetView topLeftCell="A7" zoomScale="55" zoomScaleNormal="55" workbookViewId="0">
      <selection activeCell="AL34" sqref="AL34"/>
    </sheetView>
  </sheetViews>
  <sheetFormatPr defaultRowHeight="14.5" x14ac:dyDescent="0.35"/>
  <cols>
    <col min="1" max="1" width="14.453125" bestFit="1" customWidth="1"/>
    <col min="2" max="2" width="22.1796875" bestFit="1" customWidth="1"/>
    <col min="3" max="3" width="10.1796875" bestFit="1" customWidth="1"/>
    <col min="20" max="20" width="16.08984375" bestFit="1" customWidth="1"/>
    <col min="21" max="21" width="11.26953125" bestFit="1" customWidth="1"/>
    <col min="22" max="22" width="23.54296875" bestFit="1" customWidth="1"/>
    <col min="23" max="23" width="26.7265625" bestFit="1" customWidth="1"/>
    <col min="24" max="24" width="14.6328125" bestFit="1" customWidth="1"/>
    <col min="25" max="25" width="14.453125" bestFit="1" customWidth="1"/>
    <col min="26" max="26" width="16.36328125" bestFit="1" customWidth="1"/>
    <col min="27" max="27" width="16" bestFit="1" customWidth="1"/>
  </cols>
  <sheetData>
    <row r="1" spans="1:27" x14ac:dyDescent="0.35">
      <c r="B1" t="s">
        <v>1801</v>
      </c>
    </row>
    <row r="2" spans="1:27" x14ac:dyDescent="0.35">
      <c r="B2" t="s">
        <v>1796</v>
      </c>
      <c r="C2" s="19">
        <f>SUM(Table1[Total_Amount2])</f>
        <v>38750391.352800004</v>
      </c>
    </row>
    <row r="3" spans="1:27" x14ac:dyDescent="0.35">
      <c r="B3" t="s">
        <v>1797</v>
      </c>
      <c r="C3">
        <f>COUNT(Table1[Total_Amount2])</f>
        <v>480</v>
      </c>
    </row>
    <row r="4" spans="1:27" x14ac:dyDescent="0.35">
      <c r="B4" t="s">
        <v>1798</v>
      </c>
      <c r="C4" s="15">
        <f>SUM(data!O2:O481)</f>
        <v>2555</v>
      </c>
    </row>
    <row r="5" spans="1:27" x14ac:dyDescent="0.35">
      <c r="B5" t="s">
        <v>1799</v>
      </c>
      <c r="C5" s="15">
        <f>AVERAGE(Table1[Total_Amount2])</f>
        <v>80729.981985000006</v>
      </c>
      <c r="T5" t="s">
        <v>1814</v>
      </c>
      <c r="U5" t="s">
        <v>1815</v>
      </c>
      <c r="Y5" s="17" t="s">
        <v>1803</v>
      </c>
      <c r="Z5" t="s">
        <v>1813</v>
      </c>
    </row>
    <row r="6" spans="1:27" ht="31" x14ac:dyDescent="0.7">
      <c r="B6" t="s">
        <v>1800</v>
      </c>
      <c r="C6" s="16">
        <f>COUNTIF(Table1[Return_Flag],"yes")/COUNTA(Table1[Return_Flag])</f>
        <v>0.44374999999999998</v>
      </c>
      <c r="T6" s="21">
        <v>38750391.352800004</v>
      </c>
      <c r="U6" s="26">
        <v>480</v>
      </c>
      <c r="V6" t="s">
        <v>1816</v>
      </c>
      <c r="Y6" s="22" t="s">
        <v>138</v>
      </c>
      <c r="Z6" s="23">
        <v>213</v>
      </c>
      <c r="AA6" t="s">
        <v>1817</v>
      </c>
    </row>
    <row r="7" spans="1:27" x14ac:dyDescent="0.35">
      <c r="V7" s="19">
        <v>80729.981985000006</v>
      </c>
      <c r="Y7" s="18" t="s">
        <v>1804</v>
      </c>
      <c r="Z7">
        <v>213</v>
      </c>
      <c r="AA7">
        <v>480</v>
      </c>
    </row>
    <row r="9" spans="1:27" ht="31" x14ac:dyDescent="0.7">
      <c r="A9" s="17" t="s">
        <v>1803</v>
      </c>
      <c r="B9" t="s">
        <v>1802</v>
      </c>
      <c r="Z9" s="25">
        <f>Z6/U6</f>
        <v>0.44374999999999998</v>
      </c>
    </row>
    <row r="10" spans="1:27" x14ac:dyDescent="0.35">
      <c r="A10" s="18" t="s">
        <v>1805</v>
      </c>
      <c r="B10" s="19">
        <v>8579224.2229999993</v>
      </c>
      <c r="Y10" s="19"/>
      <c r="Z10" s="24"/>
    </row>
    <row r="11" spans="1:27" x14ac:dyDescent="0.35">
      <c r="A11" s="18" t="s">
        <v>1806</v>
      </c>
      <c r="B11" s="19">
        <v>6085087.3869999992</v>
      </c>
    </row>
    <row r="12" spans="1:27" x14ac:dyDescent="0.35">
      <c r="A12" s="18" t="s">
        <v>1807</v>
      </c>
      <c r="B12" s="19">
        <v>5598670.924999998</v>
      </c>
    </row>
    <row r="13" spans="1:27" x14ac:dyDescent="0.35">
      <c r="A13" s="18" t="s">
        <v>1808</v>
      </c>
      <c r="B13" s="19">
        <v>7488517.8264000006</v>
      </c>
    </row>
    <row r="14" spans="1:27" x14ac:dyDescent="0.35">
      <c r="A14" s="18" t="s">
        <v>1809</v>
      </c>
      <c r="B14" s="19">
        <v>4551333.6140000001</v>
      </c>
    </row>
    <row r="15" spans="1:27" x14ac:dyDescent="0.35">
      <c r="A15" s="18" t="s">
        <v>1810</v>
      </c>
      <c r="B15" s="19">
        <v>6447557.3774000015</v>
      </c>
    </row>
    <row r="16" spans="1:27" x14ac:dyDescent="0.35">
      <c r="A16" s="18" t="s">
        <v>1804</v>
      </c>
      <c r="B16" s="19">
        <v>38750391.352799997</v>
      </c>
    </row>
    <row r="20" spans="1:21" x14ac:dyDescent="0.35">
      <c r="U20" s="19"/>
    </row>
    <row r="23" spans="1:21" x14ac:dyDescent="0.35">
      <c r="U23" s="19"/>
    </row>
    <row r="25" spans="1:21" x14ac:dyDescent="0.35">
      <c r="A25" s="17" t="s">
        <v>1803</v>
      </c>
      <c r="B25" t="s">
        <v>1802</v>
      </c>
    </row>
    <row r="26" spans="1:21" x14ac:dyDescent="0.35">
      <c r="A26" s="18" t="s">
        <v>51</v>
      </c>
      <c r="B26" s="19">
        <v>23085755.999999996</v>
      </c>
    </row>
    <row r="27" spans="1:21" x14ac:dyDescent="0.35">
      <c r="A27" s="18" t="s">
        <v>84</v>
      </c>
      <c r="B27" s="19">
        <v>10230988.172799999</v>
      </c>
    </row>
    <row r="28" spans="1:21" x14ac:dyDescent="0.35">
      <c r="A28" s="18" t="s">
        <v>41</v>
      </c>
      <c r="B28" s="19">
        <v>2878850</v>
      </c>
    </row>
    <row r="29" spans="1:21" x14ac:dyDescent="0.35">
      <c r="A29" s="18" t="s">
        <v>62</v>
      </c>
      <c r="B29" s="19">
        <v>2475367.4099999997</v>
      </c>
    </row>
    <row r="30" spans="1:21" x14ac:dyDescent="0.35">
      <c r="A30" s="18" t="s">
        <v>27</v>
      </c>
      <c r="B30" s="19">
        <v>79429.77</v>
      </c>
    </row>
    <row r="31" spans="1:21" x14ac:dyDescent="0.35">
      <c r="A31" s="18" t="s">
        <v>1804</v>
      </c>
      <c r="B31" s="19">
        <v>38750391.352799997</v>
      </c>
    </row>
    <row r="42" spans="1:2" x14ac:dyDescent="0.35">
      <c r="A42" s="17" t="s">
        <v>1803</v>
      </c>
      <c r="B42" t="s">
        <v>1802</v>
      </c>
    </row>
    <row r="43" spans="1:2" x14ac:dyDescent="0.35">
      <c r="A43" s="18" t="s">
        <v>24</v>
      </c>
      <c r="B43" s="19">
        <v>15099189.594999997</v>
      </c>
    </row>
    <row r="44" spans="1:2" x14ac:dyDescent="0.35">
      <c r="A44" s="18" t="s">
        <v>38</v>
      </c>
      <c r="B44" s="19">
        <v>10303874.183999998</v>
      </c>
    </row>
    <row r="45" spans="1:2" x14ac:dyDescent="0.35">
      <c r="A45" s="18" t="s">
        <v>71</v>
      </c>
      <c r="B45" s="19">
        <v>8719174.5657999981</v>
      </c>
    </row>
    <row r="46" spans="1:2" x14ac:dyDescent="0.35">
      <c r="A46" s="18" t="s">
        <v>210</v>
      </c>
      <c r="B46" s="19">
        <v>4532089.0080000004</v>
      </c>
    </row>
    <row r="47" spans="1:2" x14ac:dyDescent="0.35">
      <c r="A47" s="18" t="s">
        <v>675</v>
      </c>
      <c r="B47" s="19">
        <v>96064</v>
      </c>
    </row>
    <row r="48" spans="1:2" x14ac:dyDescent="0.35">
      <c r="A48" s="18" t="s">
        <v>1804</v>
      </c>
      <c r="B48" s="19">
        <v>38750391.352799997</v>
      </c>
    </row>
    <row r="58" spans="1:2" x14ac:dyDescent="0.35">
      <c r="A58" s="17" t="s">
        <v>1803</v>
      </c>
      <c r="B58" t="s">
        <v>1811</v>
      </c>
    </row>
    <row r="59" spans="1:2" x14ac:dyDescent="0.35">
      <c r="A59" s="18" t="s">
        <v>137</v>
      </c>
      <c r="B59">
        <v>175</v>
      </c>
    </row>
    <row r="60" spans="1:2" x14ac:dyDescent="0.35">
      <c r="A60" s="18" t="s">
        <v>116</v>
      </c>
      <c r="B60">
        <v>88</v>
      </c>
    </row>
    <row r="61" spans="1:2" x14ac:dyDescent="0.35">
      <c r="A61" s="18" t="s">
        <v>87</v>
      </c>
      <c r="B61">
        <v>87</v>
      </c>
    </row>
    <row r="62" spans="1:2" x14ac:dyDescent="0.35">
      <c r="A62" s="18" t="s">
        <v>30</v>
      </c>
      <c r="B62">
        <v>86</v>
      </c>
    </row>
    <row r="63" spans="1:2" x14ac:dyDescent="0.35">
      <c r="A63" s="18" t="s">
        <v>195</v>
      </c>
      <c r="B63">
        <v>44</v>
      </c>
    </row>
    <row r="64" spans="1:2" x14ac:dyDescent="0.35">
      <c r="A64" s="18" t="s">
        <v>1804</v>
      </c>
      <c r="B64">
        <v>480</v>
      </c>
    </row>
    <row r="71" spans="1:2" x14ac:dyDescent="0.35">
      <c r="A71" s="17" t="s">
        <v>1803</v>
      </c>
      <c r="B71" t="s">
        <v>1802</v>
      </c>
    </row>
    <row r="72" spans="1:2" x14ac:dyDescent="0.35">
      <c r="A72" s="18" t="s">
        <v>134</v>
      </c>
      <c r="B72" s="19">
        <v>7245436</v>
      </c>
    </row>
    <row r="73" spans="1:2" x14ac:dyDescent="0.35">
      <c r="A73" s="18" t="s">
        <v>144</v>
      </c>
      <c r="B73" s="19">
        <v>5462090.1999999993</v>
      </c>
    </row>
    <row r="74" spans="1:2" x14ac:dyDescent="0.35">
      <c r="A74" s="18" t="s">
        <v>251</v>
      </c>
      <c r="B74" s="19">
        <v>6237126</v>
      </c>
    </row>
    <row r="75" spans="1:2" x14ac:dyDescent="0.35">
      <c r="A75" s="18" t="s">
        <v>50</v>
      </c>
      <c r="B75" s="19">
        <v>4135947.1999999997</v>
      </c>
    </row>
    <row r="76" spans="1:2" x14ac:dyDescent="0.35">
      <c r="A76" s="18" t="s">
        <v>73</v>
      </c>
      <c r="B76" s="19">
        <v>1048854.7999999998</v>
      </c>
    </row>
    <row r="77" spans="1:2" x14ac:dyDescent="0.35">
      <c r="A77" s="18" t="s">
        <v>185</v>
      </c>
      <c r="B77" s="19">
        <v>4345586</v>
      </c>
    </row>
    <row r="78" spans="1:2" x14ac:dyDescent="0.35">
      <c r="A78" s="18" t="s">
        <v>40</v>
      </c>
      <c r="B78" s="19">
        <v>2878850</v>
      </c>
    </row>
    <row r="79" spans="1:2" x14ac:dyDescent="0.35">
      <c r="A79" s="18" t="s">
        <v>267</v>
      </c>
      <c r="B79" s="19">
        <v>684848.4</v>
      </c>
    </row>
    <row r="80" spans="1:2" x14ac:dyDescent="0.35">
      <c r="A80" s="18" t="s">
        <v>83</v>
      </c>
      <c r="B80" s="19">
        <v>1235884.8</v>
      </c>
    </row>
    <row r="81" spans="1:2" x14ac:dyDescent="0.35">
      <c r="A81" s="18" t="s">
        <v>670</v>
      </c>
      <c r="B81" s="19">
        <v>2724030</v>
      </c>
    </row>
    <row r="82" spans="1:2" x14ac:dyDescent="0.35">
      <c r="A82" s="18" t="s">
        <v>1804</v>
      </c>
      <c r="B82" s="19">
        <v>35998653.399999999</v>
      </c>
    </row>
    <row r="87" spans="1:2" x14ac:dyDescent="0.35">
      <c r="A87" s="17" t="s">
        <v>1803</v>
      </c>
      <c r="B87" t="s">
        <v>1812</v>
      </c>
    </row>
    <row r="88" spans="1:2" x14ac:dyDescent="0.35">
      <c r="A88" s="18" t="s">
        <v>54</v>
      </c>
      <c r="B88">
        <v>52</v>
      </c>
    </row>
    <row r="89" spans="1:2" x14ac:dyDescent="0.35">
      <c r="A89" s="18" t="s">
        <v>1804</v>
      </c>
      <c r="B89">
        <v>52</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 n</dc:creator>
  <cp:lastModifiedBy>abhi n</cp:lastModifiedBy>
  <dcterms:created xsi:type="dcterms:W3CDTF">2026-09-24T11:03:16Z</dcterms:created>
  <dcterms:modified xsi:type="dcterms:W3CDTF">2026-10-02T11:53:44Z</dcterms:modified>
</cp:coreProperties>
</file>